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38b78eacd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11510186214b22"/>
    <x:sheet xmlns:r="http://schemas.openxmlformats.org/officeDocument/2006/relationships" name="Requirements" sheetId="2" r:id="Re304dc82718b4b9a"/>
    <x:sheet xmlns:r="http://schemas.openxmlformats.org/officeDocument/2006/relationships" name="Acceptance" sheetId="3" r:id="Rbf44e7deb83a4c74"/>
    <x:sheet xmlns:r="http://schemas.openxmlformats.org/officeDocument/2006/relationships" name="Sources" sheetId="4" r:id="Rba8a7e05cb0e48b5"/>
    <x:sheet xmlns:r="http://schemas.openxmlformats.org/officeDocument/2006/relationships" name="Source Conflicts" sheetId="5" r:id="R970c211ee41f4471"/>
    <x:sheet xmlns:r="http://schemas.openxmlformats.org/officeDocument/2006/relationships" name="Stitch Families" sheetId="6" r:id="Rd795206f04f84ad8"/>
    <x:sheet xmlns:r="http://schemas.openxmlformats.org/officeDocument/2006/relationships" name="Delivery Gates" sheetId="7" r:id="R4b5fa8aca549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5"/>
      <x:name val="Carlito"/>
    </x:font>
    <x:font>
      <x:sz val="10"/>
      <x:color rgb="FF526679"/>
      <x:name val="Carlito"/>
    </x:font>
    <x:font>
      <x:b/>
      <x:sz val="11"/>
      <x:name val="Carlito"/>
    </x:font>
    <x:font>
      <x:sz val="11"/>
      <x:color rgb="FF5266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D7"/>
      </x:patternFill>
    </x:fill>
    <x:fill>
      <x:patternFill patternType="solid">
        <x:fgColor rgb="FFEEF3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DEEDF"/>
        </x:patternFill>
      </x:fill>
    </x:dxf>
    <x:dxf>
      <x:fill>
        <x:patternFill patternType="solid">
          <x:bgColor rgb="FFFF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b23b998bb4119" /><Relationship Type="http://schemas.openxmlformats.org/officeDocument/2006/relationships/theme" Target="/xl/theme/theme1.xml" Id="R818cc42807c74533" /><Relationship Type="http://schemas.openxmlformats.org/officeDocument/2006/relationships/sharedStrings" Target="/xl/sharedStrings.xml" Id="Rba3288674e9a4b99" /><Relationship Type="http://schemas.openxmlformats.org/officeDocument/2006/relationships/worksheet" Target="/xl/worksheets/sheet1.xml" Id="R4111510186214b22" /><Relationship Type="http://schemas.openxmlformats.org/officeDocument/2006/relationships/worksheet" Target="/xl/worksheets/sheet2.xml" Id="Re304dc82718b4b9a" /><Relationship Type="http://schemas.openxmlformats.org/officeDocument/2006/relationships/worksheet" Target="/xl/worksheets/sheet3.xml" Id="Rbf44e7deb83a4c74" /><Relationship Type="http://schemas.openxmlformats.org/officeDocument/2006/relationships/worksheet" Target="/xl/worksheets/sheet4.xml" Id="Rba8a7e05cb0e48b5" /><Relationship Type="http://schemas.openxmlformats.org/officeDocument/2006/relationships/worksheet" Target="/xl/worksheets/sheet5.xml" Id="R970c211ee41f4471" /><Relationship Type="http://schemas.openxmlformats.org/officeDocument/2006/relationships/worksheet" Target="/xl/worksheets/sheet6.xml" Id="Rd795206f04f84ad8" /><Relationship Type="http://schemas.openxmlformats.org/officeDocument/2006/relationships/worksheet" Target="/xl/worksheets/sheet7.xml" Id="R4b5fa8aca5494c12" /></Relationships>
</file>

<file path=xl/tables/table1.xml><?xml version="1.0" encoding="utf-8"?>
<x:table xmlns:x="http://schemas.openxmlformats.org/spreadsheetml/2006/main" id="1" name="RequirementRegister" displayName="RequirementRegister" ref="A1:M211" headerRowCount="1" totalsRowCount="0" totalsRowShown="0">
  <x:tableColumns count="13">
    <x:tableColumn id="1" name="ID"/>
    <x:tableColumn id="2" name="Domain"/>
    <x:tableColumn id="3" name="Feature / source label"/>
    <x:tableColumn id="4" name="Scope origin"/>
    <x:tableColumn id="5" name="Implementation status"/>
    <x:tableColumn id="6" name="Acceptance status"/>
    <x:tableColumn id="7" name="Owner role"/>
    <x:tableColumn id="8" name="Milestone"/>
    <x:tableColumn id="9" name="Required operations"/>
    <x:tableColumn id="10" name="Requirement"/>
    <x:tableColumn id="11" name="Source IDs"/>
    <x:tableColumn id="12" name="Source URL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Cases" displayName="AcceptanceCases" ref="A1:G211" headerRowCount="1" totalsRowCount="0" totalsRowShown="0">
  <x:tableColumns count="7">
    <x:tableColumn id="1" name="ID"/>
    <x:tableColumn id="2" name="Feature"/>
    <x:tableColumn id="3" name="Positive acceptance case"/>
    <x:tableColumn id="4" name="Negative / failure case"/>
    <x:tableColumn id="5" name="Dependencies"/>
    <x:tableColumn id="6" name="Required operations"/>
    <x:tableColumn id="7" name="Evidence references — empty until tes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itchFamilies" displayName="StitchFamilies" ref="A1:F24" headerRowCount="1" totalsRowCount="0" totalsRowShown="0">
  <x:tableColumns count="6">
    <x:tableColumn id="1" name="ID"/>
    <x:tableColumn id="2" name="Source family"/>
    <x:tableColumn id="3" name="Category"/>
    <x:tableColumn id="4" name="Implementation scope"/>
    <x:tableColumn id="5" name="Engineering requirement"/>
    <x:tableColumn id="6" name="Acceptance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13dbbec875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a55ffc737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285cbfa186d40a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3" hidden="0" customWidth="1"/>
    <x:col min="4" max="4" width="25" hidden="0" customWidth="1"/>
    <x:col min="5" max="5" width="12" hidden="0" customWidth="1"/>
    <x:col min="6" max="6" width="25" hidden="0" customWidth="1"/>
    <x:col min="7" max="7" width="6" hidden="0" customWidth="1"/>
    <x:col min="8" max="8" width="8" hidden="0" customWidth="1"/>
  </x:cols>
  <x:sheetData>
    <x:row r="1" ht="28" customHeight="1">
      <x:c r="A1" s="17" t="str">
        <x:v>EMBROIDERYOS  |  CAPABILITY BASELINE 0.3</x:v>
      </x:c>
      <x:c r="B1" s="17"/>
      <x:c r="C1" s="17"/>
      <x:c r="D1" s="17"/>
      <x:c r="E1" s="17"/>
      <x:c r="F1" s="17"/>
      <x:c r="G1" s="17"/>
      <x:c r="H1" s="17"/>
    </x:row>
    <x:row r="2" ht="28" customHeight="1">
      <x:c r="A2" s="17"/>
      <x:c r="B2" s="17"/>
      <x:c r="C2" s="17"/>
      <x:c r="D2" s="17"/>
      <x:c r="E2" s="17"/>
      <x:c r="F2" s="17"/>
      <x:c r="G2" s="17"/>
      <x:c r="H2" s="17"/>
    </x:row>
    <x:row r="4" ht="24" customHeight="1">
      <x:c r="A4" s="21" t="str">
        <x:v>Requirements and evidence tracking — not a product release. A recorded requirement is not a working feature. No application or physical qualification is established by this workbook.</x:v>
      </x:c>
      <x:c r="B4" s="21"/>
      <x:c r="C4" s="21"/>
      <x:c r="D4" s="21"/>
      <x:c r="E4" s="21"/>
      <x:c r="F4" s="21"/>
      <x:c r="G4" s="21"/>
      <x:c r="H4" s="21"/>
    </x:row>
    <x:row r="5" ht="24" customHeight="1">
      <x:c r="A5" s="21"/>
      <x:c r="B5" s="21"/>
      <x:c r="C5" s="21"/>
      <x:c r="D5" s="21"/>
      <x:c r="E5" s="21"/>
      <x:c r="F5" s="21"/>
      <x:c r="G5" s="21"/>
      <x:c r="H5" s="21"/>
    </x:row>
    <x:row r="7" ht="32" customHeight="1">
      <x:c r="A7" s="11" t="str">
        <x:v>Metric</x:v>
      </x:c>
      <x:c r="B7" s="11" t="str">
        <x:v>Count</x:v>
      </x:c>
      <x:c r="C7" s="32"/>
      <x:c r="D7" s="11" t="str">
        <x:v>Implementation scope</x:v>
      </x:c>
      <x:c r="E7" s="11" t="str">
        <x:v>Records</x:v>
      </x:c>
      <x:c r="F7" s="11" t="str">
        <x:v>Acceptance</x:v>
      </x:c>
      <x:c r="G7" s="32"/>
      <x:c r="H7" s="32"/>
    </x:row>
    <x:row r="8" ht="27" customHeight="1">
      <x:c r="A8" s="32" t="str">
        <x:v>Requirements</x:v>
      </x:c>
      <x:c r="B8" s="33" t="n">
        <x:f>COUNTA(Requirements!A2:A211)</x:f>
        <x:v>210</x:v>
      </x:c>
      <x:c r="C8" s="32"/>
      <x:c r="D8" s="32" t="str">
        <x:v>PLANNED</x:v>
      </x:c>
      <x:c r="E8" s="32" t="n">
        <x:f>COUNTIF(Requirements!E2:E211,D8)</x:f>
        <x:v>138</x:v>
      </x:c>
      <x:c r="F8" s="32" t="str">
        <x:v>Not verified</x:v>
      </x:c>
      <x:c r="G8" s="32"/>
      <x:c r="H8" s="32"/>
    </x:row>
    <x:row r="9" ht="27" customHeight="1">
      <x:c r="A9" s="32" t="str">
        <x:v>Inherited 0.2 records</x:v>
      </x:c>
      <x:c r="B9" s="33" t="n">
        <x:f>COUNTIF(Requirements!D2:D211,"inherited_0.2")</x:f>
        <x:v>54</x:v>
      </x:c>
      <x:c r="C9" s="32"/>
      <x:c r="D9" s="32" t="str">
        <x:v>UNQUALIFIED</x:v>
      </x:c>
      <x:c r="E9" s="32" t="n">
        <x:f>COUNTIF(Requirements!E2:E211,D9)</x:f>
        <x:v>64</x:v>
      </x:c>
      <x:c r="F9" s="32" t="str">
        <x:v>Not verified</x:v>
      </x:c>
      <x:c r="G9" s="32"/>
      <x:c r="H9" s="32"/>
    </x:row>
    <x:row r="10" ht="27" customHeight="1">
      <x:c r="A10" s="32" t="str">
        <x:v>New / expanded records</x:v>
      </x:c>
      <x:c r="B10" s="33" t="n">
        <x:f>B8-B9</x:f>
        <x:v>156</x:v>
      </x:c>
      <x:c r="C10" s="32"/>
      <x:c r="D10" s="32" t="str">
        <x:v>LIBRARY_SUBSET</x:v>
      </x:c>
      <x:c r="E10" s="32" t="n">
        <x:f>COUNTIF(Requirements!E2:E211,D10)</x:f>
        <x:v>4</x:v>
      </x:c>
      <x:c r="F10" s="32" t="str">
        <x:v>Not general parity</x:v>
      </x:c>
      <x:c r="G10" s="32"/>
      <x:c r="H10" s="32"/>
    </x:row>
    <x:row r="11" ht="27" customHeight="1">
      <x:c r="A11" s="32" t="str">
        <x:v>Accepted scopes</x:v>
      </x:c>
      <x:c r="B11" s="33" t="n">
        <x:f>COUNTIF(Requirements!F2:F211,"ACCEPTED_SCOPED")</x:f>
        <x:v>0</x:v>
      </x:c>
      <x:c r="C11" s="32"/>
      <x:c r="D11" s="32" t="str">
        <x:v>CANDIDATE_SUBSET</x:v>
      </x:c>
      <x:c r="E11" s="32" t="n">
        <x:f>COUNTIF(Requirements!E2:E211,D11)</x:f>
        <x:v>3</x:v>
      </x:c>
      <x:c r="F11" s="32" t="str">
        <x:v>Native gate open</x:v>
      </x:c>
      <x:c r="G11" s="32"/>
      <x:c r="H11" s="32"/>
    </x:row>
    <x:row r="12" ht="27" customHeight="1">
      <x:c r="A12" s="32" t="str">
        <x:v>Not accepted</x:v>
      </x:c>
      <x:c r="B12" s="33" t="n">
        <x:f>B8-B11</x:f>
        <x:v>210</x:v>
      </x:c>
      <x:c r="C12" s="32"/>
      <x:c r="D12" s="32" t="str">
        <x:v>REFERENCE_UTILITY</x:v>
      </x:c>
      <x:c r="E12" s="32" t="n">
        <x:f>COUNTIF(Requirements!E2:E211,D12)</x:f>
        <x:v>1</x:v>
      </x:c>
      <x:c r="F12" s="32" t="str">
        <x:v>Not integrated</x:v>
      </x:c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 ht="31" customHeight="1">
      <x:c r="A14" s="27" t="str">
        <x:v>Read Requirements for scope; Acceptance for test cases; Stitch Families for the 9 + 14 baseline. Source Conflicts preserves font totals, OS variants, hardware floors and ambiguous wording. Changing a workbook status does not authenticate evidence or authorise a machine release.</x:v>
      </x:c>
      <x:c r="B14" s="27"/>
      <x:c r="C14" s="27"/>
      <x:c r="D14" s="27"/>
      <x:c r="E14" s="27"/>
      <x:c r="F14" s="27"/>
      <x:c r="G14" s="27"/>
      <x:c r="H14" s="27"/>
    </x:row>
    <x:row r="15" ht="31" customHeight="1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4" t="str">
        <x:v>Inspected repository: DST-Embroidery-AI  |  98303601416a  |  11 October 2026</x:v>
      </x:c>
      <x:c r="B17" s="34"/>
      <x:c r="C17" s="34"/>
      <x:c r="D17" s="34"/>
      <x:c r="E17" s="34"/>
      <x:c r="F17" s="34"/>
      <x:c r="G17" s="34"/>
      <x:c r="H17" s="34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 ht="32" customHeight="1">
      <x:c r="A19" s="11" t="str">
        <x:v>Source family groups</x:v>
      </x:c>
      <x:c r="B19" s="11" t="str">
        <x:v>Count</x:v>
      </x:c>
      <x:c r="C19" s="32"/>
      <x:c r="D19" s="32"/>
      <x:c r="E19" s="32"/>
      <x:c r="F19" s="32"/>
      <x:c r="G19" s="32"/>
      <x:c r="H19" s="32"/>
    </x:row>
    <x:row r="20">
      <x:c r="A20" s="32" t="str">
        <x:v>Line stitch groups</x:v>
      </x:c>
      <x:c r="B20" s="32" t="n">
        <x:f>COUNTIF(Requirements!B2:B211,"Line stitch families")</x:f>
        <x:v>9</x:v>
      </x:c>
      <x:c r="C20" s="32"/>
      <x:c r="D20" s="32"/>
      <x:c r="E20" s="32"/>
      <x:c r="F20" s="32"/>
      <x:c r="G20" s="32"/>
      <x:c r="H20" s="32"/>
    </x:row>
    <x:row r="21">
      <x:c r="A21" s="32" t="str">
        <x:v>Region stitch families</x:v>
      </x:c>
      <x:c r="B21" s="32" t="n">
        <x:f>COUNTIF(Requirements!B2:B211,"Region stitch families")</x:f>
        <x:v>14</x:v>
      </x:c>
      <x:c r="C21" s="32"/>
      <x:c r="D21" s="32"/>
      <x:c r="E21" s="32"/>
      <x:c r="F21" s="32"/>
      <x:c r="G21" s="32"/>
      <x:c r="H21" s="32"/>
    </x:row>
    <x:row r="22">
      <x:c r="A22" s="32" t="str">
        <x:v>Preserved source conflicts</x:v>
      </x:c>
      <x:c r="B22" s="32" t="n">
        <x:v>6</x:v>
      </x:c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</x:sheetData>
  <x:mergeCells>
    <x:mergeCell ref="A1:H2"/>
    <x:mergeCell ref="A4:H5"/>
    <x:mergeCell ref="A14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38" hidden="0" customWidth="1"/>
    <x:col min="4" max="4" width="20" hidden="0" customWidth="1"/>
    <x:col min="5" max="5" width="23" hidden="0" customWidth="1"/>
    <x:col min="6" max="6" width="20" hidden="0" customWidth="1"/>
    <x:col min="7" max="7" width="27" hidden="0" customWidth="1"/>
    <x:col min="8" max="8" width="21" hidden="0" customWidth="1"/>
    <x:col min="9" max="9" width="24" hidden="0" customWidth="1"/>
    <x:col min="10" max="10" width="52" hidden="0" customWidth="1"/>
    <x:col min="11" max="11" width="16" hidden="0" customWidth="1"/>
    <x:col min="12" max="12" width="48" hidden="0" customWidth="1"/>
    <x:col min="13" max="13" width="45" hidden="0" customWidth="1"/>
  </x:cols>
  <x:sheetData>
    <x:row r="1" ht="32" customHeight="1">
      <x:c r="A1" s="11" t="str">
        <x:v>ID</x:v>
      </x:c>
      <x:c r="B1" s="11" t="str">
        <x:v>Domain</x:v>
      </x:c>
      <x:c r="C1" s="11" t="str">
        <x:v>Feature / source label</x:v>
      </x:c>
      <x:c r="D1" s="11" t="str">
        <x:v>Scope origin</x:v>
      </x:c>
      <x:c r="E1" s="11" t="str">
        <x:v>Implementation status</x:v>
      </x:c>
      <x:c r="F1" s="11" t="str">
        <x:v>Acceptance status</x:v>
      </x:c>
      <x:c r="G1" s="11" t="str">
        <x:v>Owner role</x:v>
      </x:c>
      <x:c r="H1" s="11" t="str">
        <x:v>Milestone</x:v>
      </x:c>
      <x:c r="I1" s="11" t="str">
        <x:v>Required operations</x:v>
      </x:c>
      <x:c r="J1" s="11" t="str">
        <x:v>Requirement</x:v>
      </x:c>
      <x:c r="K1" s="11" t="str">
        <x:v>Source IDs</x:v>
      </x:c>
      <x:c r="L1" s="11" t="str">
        <x:v>Source URL</x:v>
      </x:c>
      <x:c r="M1" s="11" t="str">
        <x:v>Notes</x:v>
      </x:c>
    </x:row>
    <x:row r="2" ht="72" customHeight="1">
      <x:c r="A2" s="6" t="str">
        <x:v>B01</x:v>
      </x:c>
      <x:c r="B2" s="6" t="str">
        <x:v>Legacy &amp; Compare 0.2</x:v>
      </x:c>
      <x:c r="C2" s="6" t="str">
        <x:v>CPU</x:v>
      </x:c>
      <x:c r="D2" s="6" t="str">
        <x:v>inherited_0.2</x:v>
      </x:c>
      <x:c r="E2" s="6" t="str">
        <x:v>UNQUALIFIED</x:v>
      </x:c>
      <x:c r="F2" s="6" t="str">
        <x:v>NOT_RUN</x:v>
      </x:c>
      <x:c r="G2" s="6" t="str">
        <x:v>compatibility engineering</x:v>
      </x:c>
      <x:c r="H2" s="6" t="str">
        <x:v>M2-COMPARE</x:v>
      </x:c>
      <x:c r="I2" s="6" t="str">
        <x:v>acceptance</x:v>
      </x:c>
      <x:c r="J2" s="6" t="str">
        <x:v>legacy/lightweight test target</x:v>
      </x:c>
      <x:c r="K2" s="6" t="str">
        <x:v>L02</x:v>
      </x:c>
      <x:c r="L2" s="6" t="str"/>
      <x:c r="M2" s="6" t="str">
        <x:v>Original status and full fields preserved in inherited file. No implementation status promoted.</x:v>
      </x:c>
    </x:row>
    <x:row r="3" ht="72" customHeight="1">
      <x:c r="A3" s="6" t="str">
        <x:v>B02</x:v>
      </x:c>
      <x:c r="B3" s="6" t="str">
        <x:v>Legacy &amp; Compare 0.2</x:v>
      </x:c>
      <x:c r="C3" s="6" t="str">
        <x:v>RAM XP</x:v>
      </x:c>
      <x:c r="D3" s="6" t="str">
        <x:v>inherited_0.2</x:v>
      </x:c>
      <x:c r="E3" s="6" t="str">
        <x:v>UNQUALIFIED</x:v>
      </x:c>
      <x:c r="F3" s="6" t="str">
        <x:v>NOT_RUN</x:v>
      </x:c>
      <x:c r="G3" s="6" t="str">
        <x:v>compatibility engineering</x:v>
      </x:c>
      <x:c r="H3" s="6" t="str">
        <x:v>M2-COMPARE</x:v>
      </x:c>
      <x:c r="I3" s="6" t="str">
        <x:v>acceptance</x:v>
      </x:c>
      <x:c r="J3" s="6" t="str">
        <x:v>isolated capture/static review candidate</x:v>
      </x:c>
      <x:c r="K3" s="6" t="str">
        <x:v>L02</x:v>
      </x:c>
      <x:c r="L3" s="6" t="str"/>
      <x:c r="M3" s="6" t="str">
        <x:v>Original status and full fields preserved in inherited file. No implementation status promoted.</x:v>
      </x:c>
    </x:row>
    <x:row r="4" ht="72" customHeight="1">
      <x:c r="A4" s="6" t="str">
        <x:v>B03</x:v>
      </x:c>
      <x:c r="B4" s="6" t="str">
        <x:v>Legacy &amp; Compare 0.2</x:v>
      </x:c>
      <x:c r="C4" s="6" t="str">
        <x:v>RAM Vista and 7</x:v>
      </x:c>
      <x:c r="D4" s="6" t="str">
        <x:v>inherited_0.2</x:v>
      </x:c>
      <x:c r="E4" s="6" t="str">
        <x:v>UNQUALIFIED</x:v>
      </x:c>
      <x:c r="F4" s="6" t="str">
        <x:v>NOT_RUN</x:v>
      </x:c>
      <x:c r="G4" s="6" t="str">
        <x:v>compatibility engineering</x:v>
      </x:c>
      <x:c r="H4" s="6" t="str">
        <x:v>M2-COMPARE</x:v>
      </x:c>
      <x:c r="I4" s="6" t="str">
        <x:v>acceptance</x:v>
      </x:c>
      <x:c r="J4" s="6" t="str">
        <x:v>qualified helper or gateway-assisted view</x:v>
      </x:c>
      <x:c r="K4" s="6" t="str">
        <x:v>L02</x:v>
      </x:c>
      <x:c r="L4" s="6" t="str"/>
      <x:c r="M4" s="6" t="str">
        <x:v>Original status and full fields preserved in inherited file. No implementation status promoted.</x:v>
      </x:c>
    </x:row>
    <x:row r="5" ht="72" customHeight="1">
      <x:c r="A5" s="6" t="str">
        <x:v>B04</x:v>
      </x:c>
      <x:c r="B5" s="6" t="str">
        <x:v>Legacy &amp; Compare 0.2</x:v>
      </x:c>
      <x:c r="C5" s="6" t="str">
        <x:v>RAM listed 64-bit OS</x:v>
      </x:c>
      <x:c r="D5" s="6" t="str">
        <x:v>inherited_0.2</x:v>
      </x:c>
      <x:c r="E5" s="6" t="str">
        <x:v>UNQUALIFIED</x:v>
      </x:c>
      <x:c r="F5" s="6" t="str">
        <x:v>NOT_RUN</x:v>
      </x:c>
      <x:c r="G5" s="6" t="str">
        <x:v>compatibility engineering</x:v>
      </x:c>
      <x:c r="H5" s="6" t="str">
        <x:v>M2-COMPARE</x:v>
      </x:c>
      <x:c r="I5" s="6" t="str">
        <x:v>acceptance</x:v>
      </x:c>
      <x:c r="J5" s="6" t="str">
        <x:v>qualified helper or lightweight candidate</x:v>
      </x:c>
      <x:c r="K5" s="6" t="str">
        <x:v>L02</x:v>
      </x:c>
      <x:c r="L5" s="6" t="str"/>
      <x:c r="M5" s="6" t="str">
        <x:v>Original status and full fields preserved in inherited file. No implementation status promoted.</x:v>
      </x:c>
    </x:row>
    <x:row r="6" ht="72" customHeight="1">
      <x:c r="A6" s="6" t="str">
        <x:v>B05</x:v>
      </x:c>
      <x:c r="B6" s="6" t="str">
        <x:v>Legacy &amp; Compare 0.2</x:v>
      </x:c>
      <x:c r="C6" s="6" t="str">
        <x:v>GPU</x:v>
      </x:c>
      <x:c r="D6" s="6" t="str">
        <x:v>inherited_0.2</x:v>
      </x:c>
      <x:c r="E6" s="6" t="str">
        <x:v>UNQUALIFIED</x:v>
      </x:c>
      <x:c r="F6" s="6" t="str">
        <x:v>NOT_RUN</x:v>
      </x:c>
      <x:c r="G6" s="6" t="str">
        <x:v>compatibility engineering</x:v>
      </x:c>
      <x:c r="H6" s="6" t="str">
        <x:v>M2-COMPARE</x:v>
      </x:c>
      <x:c r="I6" s="6" t="str">
        <x:v>acceptance</x:v>
      </x:c>
      <x:c r="J6" s="6" t="str">
        <x:v>record GPU; select qualified renderer or fallback</x:v>
      </x:c>
      <x:c r="K6" s="6" t="str">
        <x:v>L02</x:v>
      </x:c>
      <x:c r="L6" s="6" t="str"/>
      <x:c r="M6" s="6" t="str">
        <x:v>Original status and full fields preserved in inherited file. No implementation status promoted.</x:v>
      </x:c>
    </x:row>
    <x:row r="7" ht="72" customHeight="1">
      <x:c r="A7" s="6" t="str">
        <x:v>B06</x:v>
      </x:c>
      <x:c r="B7" s="6" t="str">
        <x:v>Legacy &amp; Compare 0.2</x:v>
      </x:c>
      <x:c r="C7" s="6" t="str">
        <x:v>Disk</x:v>
      </x:c>
      <x:c r="D7" s="6" t="str">
        <x:v>inherited_0.2</x:v>
      </x:c>
      <x:c r="E7" s="6" t="str">
        <x:v>UNQUALIFIED</x:v>
      </x:c>
      <x:c r="F7" s="6" t="str">
        <x:v>NOT_RUN</x:v>
      </x:c>
      <x:c r="G7" s="6" t="str">
        <x:v>compatibility engineering</x:v>
      </x:c>
      <x:c r="H7" s="6" t="str">
        <x:v>M2-COMPARE</x:v>
      </x:c>
      <x:c r="I7" s="6" t="str">
        <x:v>acceptance</x:v>
      </x:c>
      <x:c r="J7" s="6" t="str">
        <x:v>restricted core/helper target; full footprint measured separately</x:v>
      </x:c>
      <x:c r="K7" s="6" t="str">
        <x:v>L02</x:v>
      </x:c>
      <x:c r="L7" s="6" t="str"/>
      <x:c r="M7" s="6" t="str">
        <x:v>Original status and full fields preserved in inherited file. No implementation status promoted.</x:v>
      </x:c>
    </x:row>
    <x:row r="8" ht="72" customHeight="1">
      <x:c r="A8" s="6" t="str">
        <x:v>B07</x:v>
      </x:c>
      <x:c r="B8" s="6" t="str">
        <x:v>Legacy &amp; Compare 0.2</x:v>
      </x:c>
      <x:c r="C8" s="6" t="str">
        <x:v>DVD</x:v>
      </x:c>
      <x:c r="D8" s="6" t="str">
        <x:v>inherited_0.2</x:v>
      </x:c>
      <x:c r="E8" s="6" t="str">
        <x:v>UNQUALIFIED</x:v>
      </x:c>
      <x:c r="F8" s="6" t="str">
        <x:v>NOT_RUN</x:v>
      </x:c>
      <x:c r="G8" s="6" t="str">
        <x:v>compatibility engineering</x:v>
      </x:c>
      <x:c r="H8" s="6" t="str">
        <x:v>M2-COMPARE</x:v>
      </x:c>
      <x:c r="I8" s="6" t="str">
        <x:v>acceptance</x:v>
      </x:c>
      <x:c r="J8" s="6" t="str">
        <x:v>optional offline install medium; no runtime dependence</x:v>
      </x:c>
      <x:c r="K8" s="6" t="str">
        <x:v>L02</x:v>
      </x:c>
      <x:c r="L8" s="6" t="str"/>
      <x:c r="M8" s="6" t="str">
        <x:v>Original status and full fields preserved in inherited file. No implementation status promoted.</x:v>
      </x:c>
    </x:row>
    <x:row r="9" ht="72" customHeight="1">
      <x:c r="A9" s="6" t="str">
        <x:v>B08</x:v>
      </x:c>
      <x:c r="B9" s="6" t="str">
        <x:v>Legacy &amp; Compare 0.2</x:v>
      </x:c>
      <x:c r="C9" s="6" t="str">
        <x:v>OS</x:v>
      </x:c>
      <x:c r="D9" s="6" t="str">
        <x:v>inherited_0.2</x:v>
      </x:c>
      <x:c r="E9" s="6" t="str">
        <x:v>UNQUALIFIED</x:v>
      </x:c>
      <x:c r="F9" s="6" t="str">
        <x:v>NOT_RUN</x:v>
      </x:c>
      <x:c r="G9" s="6" t="str">
        <x:v>compatibility engineering</x:v>
      </x:c>
      <x:c r="H9" s="6" t="str">
        <x:v>M2-COMPARE</x:v>
      </x:c>
      <x:c r="I9" s="6" t="str">
        <x:v>acceptance</x:v>
      </x:c>
      <x:c r="J9" s="6" t="str">
        <x:v>per-version qualification or legacy exchange route</x:v>
      </x:c>
      <x:c r="K9" s="6" t="str">
        <x:v>L02</x:v>
      </x:c>
      <x:c r="L9" s="6" t="str"/>
      <x:c r="M9" s="6" t="str">
        <x:v>Original status and full fields preserved in inherited file. No implementation status promoted.</x:v>
      </x:c>
    </x:row>
    <x:row r="10" ht="72" customHeight="1">
      <x:c r="A10" s="6" t="str">
        <x:v>B09</x:v>
      </x:c>
      <x:c r="B10" s="6" t="str">
        <x:v>Legacy &amp; Compare 0.2</x:v>
      </x:c>
      <x:c r="C10" s="6" t="str">
        <x:v>Scanner</x:v>
      </x:c>
      <x:c r="D10" s="6" t="str">
        <x:v>inherited_0.2</x:v>
      </x:c>
      <x:c r="E10" s="6" t="str">
        <x:v>UNQUALIFIED</x:v>
      </x:c>
      <x:c r="F10" s="6" t="str">
        <x:v>NOT_RUN</x:v>
      </x:c>
      <x:c r="G10" s="6" t="str">
        <x:v>compatibility engineering</x:v>
      </x:c>
      <x:c r="H10" s="6" t="str">
        <x:v>M2-COMPARE</x:v>
      </x:c>
      <x:c r="I10" s="6" t="str">
        <x:v>acceptance</x:v>
      </x:c>
      <x:c r="J10" s="6" t="str">
        <x:v>backend/device qualification plus explicit scale and evidence</x:v>
      </x:c>
      <x:c r="K10" s="6" t="str">
        <x:v>L02</x:v>
      </x:c>
      <x:c r="L10" s="6" t="str"/>
      <x:c r="M10" s="6" t="str">
        <x:v>Original status and full fields preserved in inherited file. No implementation status promoted.</x:v>
      </x:c>
    </x:row>
    <x:row r="11" ht="72" customHeight="1">
      <x:c r="A11" s="6" t="str">
        <x:v>B10</x:v>
      </x:c>
      <x:c r="B11" s="6" t="str">
        <x:v>Legacy &amp; Compare 0.2</x:v>
      </x:c>
      <x:c r="C11" s="6" t="str">
        <x:v>Tablet</x:v>
      </x:c>
      <x:c r="D11" s="6" t="str">
        <x:v>inherited_0.2</x:v>
      </x:c>
      <x:c r="E11" s="6" t="str">
        <x:v>UNQUALIFIED</x:v>
      </x:c>
      <x:c r="F11" s="6" t="str">
        <x:v>NOT_RUN</x:v>
      </x:c>
      <x:c r="G11" s="6" t="str">
        <x:v>compatibility engineering</x:v>
      </x:c>
      <x:c r="H11" s="6" t="str">
        <x:v>M2-COMPARE</x:v>
      </x:c>
      <x:c r="I11" s="6" t="str">
        <x:v>acceptance</x:v>
      </x:c>
      <x:c r="J11" s="6" t="str">
        <x:v>qualified Windows helper; per-device mapping</x:v>
      </x:c>
      <x:c r="K11" s="6" t="str">
        <x:v>L02</x:v>
      </x:c>
      <x:c r="L11" s="6" t="str"/>
      <x:c r="M11" s="6" t="str">
        <x:v>Original status and full fields preserved in inherited file. No implementation status promoted.</x:v>
      </x:c>
    </x:row>
    <x:row r="12" ht="72" customHeight="1">
      <x:c r="A12" s="6" t="str">
        <x:v>B11</x:v>
      </x:c>
      <x:c r="B12" s="6" t="str">
        <x:v>Legacy &amp; Compare 0.2</x:v>
      </x:c>
      <x:c r="C12" s="6" t="str">
        <x:v>Printer</x:v>
      </x:c>
      <x:c r="D12" s="6" t="str">
        <x:v>inherited_0.2</x:v>
      </x:c>
      <x:c r="E12" s="6" t="str">
        <x:v>UNQUALIFIED</x:v>
      </x:c>
      <x:c r="F12" s="6" t="str">
        <x:v>NOT_RUN</x:v>
      </x:c>
      <x:c r="G12" s="6" t="str">
        <x:v>compatibility engineering</x:v>
      </x:c>
      <x:c r="H12" s="6" t="str">
        <x:v>M2-COMPARE</x:v>
      </x:c>
      <x:c r="I12" s="6" t="str">
        <x:v>acceptance</x:v>
      </x:c>
      <x:c r="J12" s="6" t="str">
        <x:v>qualified OS print path plus dimensioned proof</x:v>
      </x:c>
      <x:c r="K12" s="6" t="str">
        <x:v>L02</x:v>
      </x:c>
      <x:c r="L12" s="6" t="str"/>
      <x:c r="M12" s="6" t="str">
        <x:v>Original status and full fields preserved in inherited file. No implementation status promoted.</x:v>
      </x:c>
    </x:row>
    <x:row r="13" ht="72" customHeight="1">
      <x:c r="A13" s="6" t="str">
        <x:v>B12</x:v>
      </x:c>
      <x:c r="B13" s="6" t="str">
        <x:v>Legacy &amp; Compare 0.2</x:v>
      </x:c>
      <x:c r="C13" s="6" t="str">
        <x:v>USB</x:v>
      </x:c>
      <x:c r="D13" s="6" t="str">
        <x:v>inherited_0.2</x:v>
      </x:c>
      <x:c r="E13" s="6" t="str">
        <x:v>UNQUALIFIED</x:v>
      </x:c>
      <x:c r="F13" s="6" t="str">
        <x:v>NOT_RUN</x:v>
      </x:c>
      <x:c r="G13" s="6" t="str">
        <x:v>compatibility engineering</x:v>
      </x:c>
      <x:c r="H13" s="6" t="str">
        <x:v>M2-COMPARE</x:v>
      </x:c>
      <x:c r="I13" s="6" t="str">
        <x:v>acceptance</x:v>
      </x:c>
      <x:c r="J13" s="6" t="str">
        <x:v>optional authorised entitlement adapter; no mandatory dongle</x:v>
      </x:c>
      <x:c r="K13" s="6" t="str">
        <x:v>L02</x:v>
      </x:c>
      <x:c r="L13" s="6" t="str"/>
      <x:c r="M13" s="6" t="str">
        <x:v>Original status and full fields preserved in inherited file. No implementation status promoted.</x:v>
      </x:c>
    </x:row>
    <x:row r="14" ht="72" customHeight="1">
      <x:c r="A14" s="6" t="str">
        <x:v>R01</x:v>
      </x:c>
      <x:c r="B14" s="6" t="str">
        <x:v>Legacy &amp; Compare 0.2</x:v>
      </x:c>
      <x:c r="C14" s="6" t="str">
        <x:v>CPU</x:v>
      </x:c>
      <x:c r="D14" s="6" t="str">
        <x:v>inherited_0.2</x:v>
      </x:c>
      <x:c r="E14" s="6" t="str">
        <x:v>UNQUALIFIED</x:v>
      </x:c>
      <x:c r="F14" s="6" t="str">
        <x:v>NOT_RUN</x:v>
      </x:c>
      <x:c r="G14" s="6" t="str">
        <x:v>compatibility engineering</x:v>
      </x:c>
      <x:c r="H14" s="6" t="str">
        <x:v>M2-COMPARE</x:v>
      </x:c>
      <x:c r="I14" s="6" t="str">
        <x:v>acceptance</x:v>
      </x:c>
      <x:c r="J14" s="6" t="str">
        <x:v>same frequency as supplied, not silently corrected</x:v>
      </x:c>
      <x:c r="K14" s="6" t="str">
        <x:v>L02</x:v>
      </x:c>
      <x:c r="L14" s="6" t="str"/>
      <x:c r="M14" s="6" t="str">
        <x:v>Original status and full fields preserved in inherited file. No implementation status promoted.</x:v>
      </x:c>
    </x:row>
    <x:row r="15" ht="72" customHeight="1">
      <x:c r="A15" s="6" t="str">
        <x:v>R02</x:v>
      </x:c>
      <x:c r="B15" s="6" t="str">
        <x:v>Legacy &amp; Compare 0.2</x:v>
      </x:c>
      <x:c r="C15" s="6" t="str">
        <x:v>RAM XP</x:v>
      </x:c>
      <x:c r="D15" s="6" t="str">
        <x:v>inherited_0.2</x:v>
      </x:c>
      <x:c r="E15" s="6" t="str">
        <x:v>UNQUALIFIED</x:v>
      </x:c>
      <x:c r="F15" s="6" t="str">
        <x:v>NOT_RUN</x:v>
      </x:c>
      <x:c r="G15" s="6" t="str">
        <x:v>compatibility engineering</x:v>
      </x:c>
      <x:c r="H15" s="6" t="str">
        <x:v>M2-COMPARE</x:v>
      </x:c>
      <x:c r="I15" s="6" t="str">
        <x:v>acceptance</x:v>
      </x:c>
      <x:c r="J15" s="6" t="str">
        <x:v>isolated helper/capture candidate</x:v>
      </x:c>
      <x:c r="K15" s="6" t="str">
        <x:v>L02</x:v>
      </x:c>
      <x:c r="L15" s="6" t="str"/>
      <x:c r="M15" s="6" t="str">
        <x:v>Original status and full fields preserved in inherited file. No implementation status promoted.</x:v>
      </x:c>
    </x:row>
    <x:row r="16" ht="72" customHeight="1">
      <x:c r="A16" s="6" t="str">
        <x:v>R03</x:v>
      </x:c>
      <x:c r="B16" s="6" t="str">
        <x:v>Legacy &amp; Compare 0.2</x:v>
      </x:c>
      <x:c r="C16" s="6" t="str">
        <x:v>RAM listed OS</x:v>
      </x:c>
      <x:c r="D16" s="6" t="str">
        <x:v>inherited_0.2</x:v>
      </x:c>
      <x:c r="E16" s="6" t="str">
        <x:v>UNQUALIFIED</x:v>
      </x:c>
      <x:c r="F16" s="6" t="str">
        <x:v>NOT_RUN</x:v>
      </x:c>
      <x:c r="G16" s="6" t="str">
        <x:v>compatibility engineering</x:v>
      </x:c>
      <x:c r="H16" s="6" t="str">
        <x:v>M2-COMPARE</x:v>
      </x:c>
      <x:c r="I16" s="6" t="str">
        <x:v>acceptance</x:v>
      </x:c>
      <x:c r="J16" s="6" t="str">
        <x:v>qualified 2D or gateway route</x:v>
      </x:c>
      <x:c r="K16" s="6" t="str">
        <x:v>L02</x:v>
      </x:c>
      <x:c r="L16" s="6" t="str"/>
      <x:c r="M16" s="6" t="str">
        <x:v>Original status and full fields preserved in inherited file. No implementation status promoted.</x:v>
      </x:c>
    </x:row>
    <x:row r="17" ht="72" customHeight="1">
      <x:c r="A17" s="6" t="str">
        <x:v>R04</x:v>
      </x:c>
      <x:c r="B17" s="6" t="str">
        <x:v>Legacy &amp; Compare 0.2</x:v>
      </x:c>
      <x:c r="C17" s="6" t="str">
        <x:v>RAM listed 64-bit OS</x:v>
      </x:c>
      <x:c r="D17" s="6" t="str">
        <x:v>inherited_0.2</x:v>
      </x:c>
      <x:c r="E17" s="6" t="str">
        <x:v>UNQUALIFIED</x:v>
      </x:c>
      <x:c r="F17" s="6" t="str">
        <x:v>NOT_RUN</x:v>
      </x:c>
      <x:c r="G17" s="6" t="str">
        <x:v>compatibility engineering</x:v>
      </x:c>
      <x:c r="H17" s="6" t="str">
        <x:v>M2-COMPARE</x:v>
      </x:c>
      <x:c r="I17" s="6" t="str">
        <x:v>acceptance</x:v>
      </x:c>
      <x:c r="J17" s="6" t="str">
        <x:v>qualified 2D candidate</x:v>
      </x:c>
      <x:c r="K17" s="6" t="str">
        <x:v>L02</x:v>
      </x:c>
      <x:c r="L17" s="6" t="str"/>
      <x:c r="M17" s="6" t="str">
        <x:v>Original status and full fields preserved in inherited file. No implementation status promoted.</x:v>
      </x:c>
    </x:row>
    <x:row r="18" ht="72" customHeight="1">
      <x:c r="A18" s="6" t="str">
        <x:v>R05</x:v>
      </x:c>
      <x:c r="B18" s="6" t="str">
        <x:v>Legacy &amp; Compare 0.2</x:v>
      </x:c>
      <x:c r="C18" s="6" t="str">
        <x:v>GPU</x:v>
      </x:c>
      <x:c r="D18" s="6" t="str">
        <x:v>inherited_0.2</x:v>
      </x:c>
      <x:c r="E18" s="6" t="str">
        <x:v>UNQUALIFIED</x:v>
      </x:c>
      <x:c r="F18" s="6" t="str">
        <x:v>NOT_RUN</x:v>
      </x:c>
      <x:c r="G18" s="6" t="str">
        <x:v>compatibility engineering</x:v>
      </x:c>
      <x:c r="H18" s="6" t="str">
        <x:v>M2-COMPARE</x:v>
      </x:c>
      <x:c r="I18" s="6" t="str">
        <x:v>acceptance</x:v>
      </x:c>
      <x:c r="J18" s="6" t="str">
        <x:v>renderer qualification, no DirectX requirement on macOS/Linux</x:v>
      </x:c>
      <x:c r="K18" s="6" t="str">
        <x:v>L02</x:v>
      </x:c>
      <x:c r="L18" s="6" t="str"/>
      <x:c r="M18" s="6" t="str">
        <x:v>Original status and full fields preserved in inherited file. No implementation status promoted.</x:v>
      </x:c>
    </x:row>
    <x:row r="19" ht="72" customHeight="1">
      <x:c r="A19" s="6" t="str">
        <x:v>R06</x:v>
      </x:c>
      <x:c r="B19" s="6" t="str">
        <x:v>Legacy &amp; Compare 0.2</x:v>
      </x:c>
      <x:c r="C19" s="6" t="str">
        <x:v>Disk</x:v>
      </x:c>
      <x:c r="D19" s="6" t="str">
        <x:v>inherited_0.2</x:v>
      </x:c>
      <x:c r="E19" s="6" t="str">
        <x:v>UNQUALIFIED</x:v>
      </x:c>
      <x:c r="F19" s="6" t="str">
        <x:v>NOT_RUN</x:v>
      </x:c>
      <x:c r="G19" s="6" t="str">
        <x:v>compatibility engineering</x:v>
      </x:c>
      <x:c r="H19" s="6" t="str">
        <x:v>M2-COMPARE</x:v>
      </x:c>
      <x:c r="I19" s="6" t="str">
        <x:v>acceptance</x:v>
      </x:c>
      <x:c r="J19" s="6" t="str">
        <x:v>restricted core/helper target, not AI/CAD pack size</x:v>
      </x:c>
      <x:c r="K19" s="6" t="str">
        <x:v>L02</x:v>
      </x:c>
      <x:c r="L19" s="6" t="str"/>
      <x:c r="M19" s="6" t="str">
        <x:v>Original status and full fields preserved in inherited file. No implementation status promoted.</x:v>
      </x:c>
    </x:row>
    <x:row r="20" ht="72" customHeight="1">
      <x:c r="A20" s="6" t="str">
        <x:v>R07</x:v>
      </x:c>
      <x:c r="B20" s="6" t="str">
        <x:v>Legacy &amp; Compare 0.2</x:v>
      </x:c>
      <x:c r="C20" s="6" t="str">
        <x:v>DVD</x:v>
      </x:c>
      <x:c r="D20" s="6" t="str">
        <x:v>inherited_0.2</x:v>
      </x:c>
      <x:c r="E20" s="6" t="str">
        <x:v>UNQUALIFIED</x:v>
      </x:c>
      <x:c r="F20" s="6" t="str">
        <x:v>NOT_RUN</x:v>
      </x:c>
      <x:c r="G20" s="6" t="str">
        <x:v>compatibility engineering</x:v>
      </x:c>
      <x:c r="H20" s="6" t="str">
        <x:v>M2-COMPARE</x:v>
      </x:c>
      <x:c r="I20" s="6" t="str">
        <x:v>acceptance</x:v>
      </x:c>
      <x:c r="J20" s="6" t="str">
        <x:v>optional offline install medium</x:v>
      </x:c>
      <x:c r="K20" s="6" t="str">
        <x:v>L02</x:v>
      </x:c>
      <x:c r="L20" s="6" t="str"/>
      <x:c r="M20" s="6" t="str">
        <x:v>Original status and full fields preserved in inherited file. No implementation status promoted.</x:v>
      </x:c>
    </x:row>
    <x:row r="21" ht="72" customHeight="1">
      <x:c r="A21" s="6" t="str">
        <x:v>R08</x:v>
      </x:c>
      <x:c r="B21" s="6" t="str">
        <x:v>Legacy &amp; Compare 0.2</x:v>
      </x:c>
      <x:c r="C21" s="6" t="str">
        <x:v>OS</x:v>
      </x:c>
      <x:c r="D21" s="6" t="str">
        <x:v>inherited_0.2</x:v>
      </x:c>
      <x:c r="E21" s="6" t="str">
        <x:v>UNQUALIFIED</x:v>
      </x:c>
      <x:c r="F21" s="6" t="str">
        <x:v>NOT_RUN</x:v>
      </x:c>
      <x:c r="G21" s="6" t="str">
        <x:v>compatibility engineering</x:v>
      </x:c>
      <x:c r="H21" s="6" t="str">
        <x:v>M2-COMPARE</x:v>
      </x:c>
      <x:c r="I21" s="6" t="str">
        <x:v>acceptance</x:v>
      </x:c>
      <x:c r="J21" s="6" t="str">
        <x:v>separate direct and assisted qualification</x:v>
      </x:c>
      <x:c r="K21" s="6" t="str">
        <x:v>L02</x:v>
      </x:c>
      <x:c r="L21" s="6" t="str"/>
      <x:c r="M21" s="6" t="str">
        <x:v>Original status and full fields preserved in inherited file. No implementation status promoted.</x:v>
      </x:c>
    </x:row>
    <x:row r="22" ht="72" customHeight="1">
      <x:c r="A22" s="6" t="str">
        <x:v>R09</x:v>
      </x:c>
      <x:c r="B22" s="6" t="str">
        <x:v>Legacy &amp; Compare 0.2</x:v>
      </x:c>
      <x:c r="C22" s="6" t="str">
        <x:v>Scanner</x:v>
      </x:c>
      <x:c r="D22" s="6" t="str">
        <x:v>inherited_0.2</x:v>
      </x:c>
      <x:c r="E22" s="6" t="str">
        <x:v>UNQUALIFIED</x:v>
      </x:c>
      <x:c r="F22" s="6" t="str">
        <x:v>NOT_RUN</x:v>
      </x:c>
      <x:c r="G22" s="6" t="str">
        <x:v>compatibility engineering</x:v>
      </x:c>
      <x:c r="H22" s="6" t="str">
        <x:v>M2-COMPARE</x:v>
      </x:c>
      <x:c r="I22" s="6" t="str">
        <x:v>acceptance</x:v>
      </x:c>
      <x:c r="J22" s="6" t="str">
        <x:v>specific model/backend/resolution acceptance</x:v>
      </x:c>
      <x:c r="K22" s="6" t="str">
        <x:v>L02</x:v>
      </x:c>
      <x:c r="L22" s="6" t="str"/>
      <x:c r="M22" s="6" t="str">
        <x:v>Original status and full fields preserved in inherited file. No implementation status promoted.</x:v>
      </x:c>
    </x:row>
    <x:row r="23" ht="72" customHeight="1">
      <x:c r="A23" s="6" t="str">
        <x:v>R10</x:v>
      </x:c>
      <x:c r="B23" s="6" t="str">
        <x:v>Legacy &amp; Compare 0.2</x:v>
      </x:c>
      <x:c r="C23" s="6" t="str">
        <x:v>Tablet</x:v>
      </x:c>
      <x:c r="D23" s="6" t="str">
        <x:v>inherited_0.2</x:v>
      </x:c>
      <x:c r="E23" s="6" t="str">
        <x:v>UNQUALIFIED</x:v>
      </x:c>
      <x:c r="F23" s="6" t="str">
        <x:v>NOT_RUN</x:v>
      </x:c>
      <x:c r="G23" s="6" t="str">
        <x:v>compatibility engineering</x:v>
      </x:c>
      <x:c r="H23" s="6" t="str">
        <x:v>M2-COMPARE</x:v>
      </x:c>
      <x:c r="I23" s="6" t="str">
        <x:v>acceptance</x:v>
      </x:c>
      <x:c r="J23" s="6" t="str">
        <x:v>driver-specific input qualification</x:v>
      </x:c>
      <x:c r="K23" s="6" t="str">
        <x:v>L02</x:v>
      </x:c>
      <x:c r="L23" s="6" t="str"/>
      <x:c r="M23" s="6" t="str">
        <x:v>Original status and full fields preserved in inherited file. No implementation status promoted.</x:v>
      </x:c>
    </x:row>
    <x:row r="24" ht="72" customHeight="1">
      <x:c r="A24" s="6" t="str">
        <x:v>R11</x:v>
      </x:c>
      <x:c r="B24" s="6" t="str">
        <x:v>Legacy &amp; Compare 0.2</x:v>
      </x:c>
      <x:c r="C24" s="6" t="str">
        <x:v>Printer</x:v>
      </x:c>
      <x:c r="D24" s="6" t="str">
        <x:v>inherited_0.2</x:v>
      </x:c>
      <x:c r="E24" s="6" t="str">
        <x:v>UNQUALIFIED</x:v>
      </x:c>
      <x:c r="F24" s="6" t="str">
        <x:v>NOT_RUN</x:v>
      </x:c>
      <x:c r="G24" s="6" t="str">
        <x:v>compatibility engineering</x:v>
      </x:c>
      <x:c r="H24" s="6" t="str">
        <x:v>M2-COMPARE</x:v>
      </x:c>
      <x:c r="I24" s="6" t="str">
        <x:v>acceptance</x:v>
      </x:c>
      <x:c r="J24" s="6" t="str">
        <x:v>measured print scale and visible driver limitations</x:v>
      </x:c>
      <x:c r="K24" s="6" t="str">
        <x:v>L02</x:v>
      </x:c>
      <x:c r="L24" s="6" t="str"/>
      <x:c r="M24" s="6" t="str">
        <x:v>Original status and full fields preserved in inherited file. No implementation status promoted.</x:v>
      </x:c>
    </x:row>
    <x:row r="25" ht="72" customHeight="1">
      <x:c r="A25" s="6" t="str">
        <x:v>R12</x:v>
      </x:c>
      <x:c r="B25" s="6" t="str">
        <x:v>Legacy &amp; Compare 0.2</x:v>
      </x:c>
      <x:c r="C25" s="6" t="str">
        <x:v>USB</x:v>
      </x:c>
      <x:c r="D25" s="6" t="str">
        <x:v>inherited_0.2</x:v>
      </x:c>
      <x:c r="E25" s="6" t="str">
        <x:v>UNQUALIFIED</x:v>
      </x:c>
      <x:c r="F25" s="6" t="str">
        <x:v>NOT_RUN</x:v>
      </x:c>
      <x:c r="G25" s="6" t="str">
        <x:v>compatibility engineering</x:v>
      </x:c>
      <x:c r="H25" s="6" t="str">
        <x:v>M2-COMPARE</x:v>
      </x:c>
      <x:c r="I25" s="6" t="str">
        <x:v>acceptance</x:v>
      </x:c>
      <x:c r="J25" s="6" t="str">
        <x:v>separate security-key, peripheral and machine transports</x:v>
      </x:c>
      <x:c r="K25" s="6" t="str">
        <x:v>L02</x:v>
      </x:c>
      <x:c r="L25" s="6" t="str"/>
      <x:c r="M25" s="6" t="str">
        <x:v>Original status and full fields preserved in inherited file. No implementation status promoted.</x:v>
      </x:c>
    </x:row>
    <x:row r="26" ht="72" customHeight="1">
      <x:c r="A26" s="6" t="str">
        <x:v>E01</x:v>
      </x:c>
      <x:c r="B26" s="6" t="str">
        <x:v>Legacy &amp; Compare 0.2</x:v>
      </x:c>
      <x:c r="C26" s="6" t="str">
        <x:v>Operating systems and architectures</x:v>
      </x:c>
      <x:c r="D26" s="6" t="str">
        <x:v>inherited_0.2</x:v>
      </x:c>
      <x:c r="E26" s="6" t="str">
        <x:v>UNQUALIFIED</x:v>
      </x:c>
      <x:c r="F26" s="6" t="str">
        <x:v>NOT_RUN</x:v>
      </x:c>
      <x:c r="G26" s="6" t="str">
        <x:v>platform</x:v>
      </x:c>
      <x:c r="H26" s="6" t="str">
        <x:v>M2-COMPARE</x:v>
      </x:c>
      <x:c r="I26" s="6" t="str">
        <x:v>acceptance</x:v>
      </x:c>
      <x:c r="J26" s="6" t="str">
        <x:v>See compatibility-and-compare.md; developer utility only where explicitly recorded.</x:v>
      </x:c>
      <x:c r="K26" s="6" t="str">
        <x:v>L02</x:v>
      </x:c>
      <x:c r="L26" s="6" t="str"/>
      <x:c r="M26" s="6" t="str">
        <x:v>Original status and full fields preserved in inherited file. No implementation status promoted.</x:v>
      </x:c>
    </x:row>
    <x:row r="27" ht="72" customHeight="1">
      <x:c r="A27" s="6" t="str">
        <x:v>E02</x:v>
      </x:c>
      <x:c r="B27" s="6" t="str">
        <x:v>Legacy &amp; Compare 0.2</x:v>
      </x:c>
      <x:c r="C27" s="6" t="str">
        <x:v>Earlier hardware</x:v>
      </x:c>
      <x:c r="D27" s="6" t="str">
        <x:v>inherited_0.2</x:v>
      </x:c>
      <x:c r="E27" s="6" t="str">
        <x:v>UNQUALIFIED</x:v>
      </x:c>
      <x:c r="F27" s="6" t="str">
        <x:v>NOT_RUN</x:v>
      </x:c>
      <x:c r="G27" s="6" t="str">
        <x:v>platform</x:v>
      </x:c>
      <x:c r="H27" s="6" t="str">
        <x:v>M2-COMPARE</x:v>
      </x:c>
      <x:c r="I27" s="6" t="str">
        <x:v>acceptance</x:v>
      </x:c>
      <x:c r="J27" s="6" t="str">
        <x:v>See compatibility-and-compare.md; developer utility only where explicitly recorded.</x:v>
      </x:c>
      <x:c r="K27" s="6" t="str">
        <x:v>L02</x:v>
      </x:c>
      <x:c r="L27" s="6" t="str"/>
      <x:c r="M27" s="6" t="str">
        <x:v>Original status and full fields preserved in inherited file. No implementation status promoted.</x:v>
      </x:c>
    </x:row>
    <x:row r="28" ht="72" customHeight="1">
      <x:c r="A28" s="6" t="str">
        <x:v>E03</x:v>
      </x:c>
      <x:c r="B28" s="6" t="str">
        <x:v>Legacy &amp; Compare 0.2</x:v>
      </x:c>
      <x:c r="C28" s="6" t="str">
        <x:v>Vendor neutrality</x:v>
      </x:c>
      <x:c r="D28" s="6" t="str">
        <x:v>inherited_0.2</x:v>
      </x:c>
      <x:c r="E28" s="6" t="str">
        <x:v>UNQUALIFIED</x:v>
      </x:c>
      <x:c r="F28" s="6" t="str">
        <x:v>NOT_RUN</x:v>
      </x:c>
      <x:c r="G28" s="6" t="str">
        <x:v>platform</x:v>
      </x:c>
      <x:c r="H28" s="6" t="str">
        <x:v>M2-COMPARE</x:v>
      </x:c>
      <x:c r="I28" s="6" t="str">
        <x:v>acceptance</x:v>
      </x:c>
      <x:c r="J28" s="6" t="str">
        <x:v>See compatibility-and-compare.md; developer utility only where explicitly recorded.</x:v>
      </x:c>
      <x:c r="K28" s="6" t="str">
        <x:v>L02</x:v>
      </x:c>
      <x:c r="L28" s="6" t="str"/>
      <x:c r="M28" s="6" t="str">
        <x:v>Original status and full fields preserved in inherited file. No implementation status promoted.</x:v>
      </x:c>
    </x:row>
    <x:row r="29" ht="72" customHeight="1">
      <x:c r="A29" s="6" t="str">
        <x:v>E04</x:v>
      </x:c>
      <x:c r="B29" s="6" t="str">
        <x:v>Legacy &amp; Compare 0.2</x:v>
      </x:c>
      <x:c r="C29" s="6" t="str">
        <x:v>Graphics fallback</x:v>
      </x:c>
      <x:c r="D29" s="6" t="str">
        <x:v>inherited_0.2</x:v>
      </x:c>
      <x:c r="E29" s="6" t="str">
        <x:v>UNQUALIFIED</x:v>
      </x:c>
      <x:c r="F29" s="6" t="str">
        <x:v>NOT_RUN</x:v>
      </x:c>
      <x:c r="G29" s="6" t="str">
        <x:v>renderer</x:v>
      </x:c>
      <x:c r="H29" s="6" t="str">
        <x:v>M2-COMPARE</x:v>
      </x:c>
      <x:c r="I29" s="6" t="str">
        <x:v>acceptance</x:v>
      </x:c>
      <x:c r="J29" s="6" t="str">
        <x:v>See compatibility-and-compare.md; developer utility only where explicitly recorded.</x:v>
      </x:c>
      <x:c r="K29" s="6" t="str">
        <x:v>L02</x:v>
      </x:c>
      <x:c r="L29" s="6" t="str"/>
      <x:c r="M29" s="6" t="str">
        <x:v>Original status and full fields preserved in inherited file. No implementation status promoted.</x:v>
      </x:c>
    </x:row>
    <x:row r="30" ht="72" customHeight="1">
      <x:c r="A30" s="6" t="str">
        <x:v>E05</x:v>
      </x:c>
      <x:c r="B30" s="6" t="str">
        <x:v>Legacy &amp; Compare 0.2</x:v>
      </x:c>
      <x:c r="C30" s="6" t="str">
        <x:v>Core footprint</x:v>
      </x:c>
      <x:c r="D30" s="6" t="str">
        <x:v>inherited_0.2</x:v>
      </x:c>
      <x:c r="E30" s="6" t="str">
        <x:v>UNQUALIFIED</x:v>
      </x:c>
      <x:c r="F30" s="6" t="str">
        <x:v>NOT_RUN</x:v>
      </x:c>
      <x:c r="G30" s="6" t="str">
        <x:v>platform</x:v>
      </x:c>
      <x:c r="H30" s="6" t="str">
        <x:v>M2-COMPARE</x:v>
      </x:c>
      <x:c r="I30" s="6" t="str">
        <x:v>acceptance</x:v>
      </x:c>
      <x:c r="J30" s="6" t="str">
        <x:v>See compatibility-and-compare.md; developer utility only where explicitly recorded.</x:v>
      </x:c>
      <x:c r="K30" s="6" t="str">
        <x:v>L02</x:v>
      </x:c>
      <x:c r="L30" s="6" t="str"/>
      <x:c r="M30" s="6" t="str">
        <x:v>Original status and full fields preserved in inherited file. No implementation status promoted.</x:v>
      </x:c>
    </x:row>
    <x:row r="31" ht="72" customHeight="1">
      <x:c r="A31" s="6" t="str">
        <x:v>E06</x:v>
      </x:c>
      <x:c r="B31" s="6" t="str">
        <x:v>Legacy &amp; Compare 0.2</x:v>
      </x:c>
      <x:c r="C31" s="6" t="str">
        <x:v>Source preservation</x:v>
      </x:c>
      <x:c r="D31" s="6" t="str">
        <x:v>inherited_0.2</x:v>
      </x:c>
      <x:c r="E31" s="6" t="str">
        <x:v>UNQUALIFIED</x:v>
      </x:c>
      <x:c r="F31" s="6" t="str">
        <x:v>NOT_RUN</x:v>
      </x:c>
      <x:c r="G31" s="6" t="str">
        <x:v>assets</x:v>
      </x:c>
      <x:c r="H31" s="6" t="str">
        <x:v>M2-COMPARE</x:v>
      </x:c>
      <x:c r="I31" s="6" t="str">
        <x:v>acceptance</x:v>
      </x:c>
      <x:c r="J31" s="6" t="str">
        <x:v>See compatibility-and-compare.md; developer utility only where explicitly recorded.</x:v>
      </x:c>
      <x:c r="K31" s="6" t="str">
        <x:v>L02</x:v>
      </x:c>
      <x:c r="L31" s="6" t="str"/>
      <x:c r="M31" s="6" t="str">
        <x:v>Original status and full fields preserved in inherited file. No implementation status promoted.</x:v>
      </x:c>
    </x:row>
    <x:row r="32" ht="72" customHeight="1">
      <x:c r="A32" s="6" t="str">
        <x:v>E07</x:v>
      </x:c>
      <x:c r="B32" s="6" t="str">
        <x:v>Legacy &amp; Compare 0.2</x:v>
      </x:c>
      <x:c r="C32" s="6" t="str">
        <x:v>Original versus editable</x:v>
      </x:c>
      <x:c r="D32" s="6" t="str">
        <x:v>inherited_0.2</x:v>
      </x:c>
      <x:c r="E32" s="6" t="str">
        <x:v>UNQUALIFIED</x:v>
      </x:c>
      <x:c r="F32" s="6" t="str">
        <x:v>NOT_RUN</x:v>
      </x:c>
      <x:c r="G32" s="6" t="str">
        <x:v>studio</x:v>
      </x:c>
      <x:c r="H32" s="6" t="str">
        <x:v>M2-COMPARE</x:v>
      </x:c>
      <x:c r="I32" s="6" t="str">
        <x:v>acceptance</x:v>
      </x:c>
      <x:c r="J32" s="6" t="str">
        <x:v>See compatibility-and-compare.md; developer utility only where explicitly recorded.</x:v>
      </x:c>
      <x:c r="K32" s="6" t="str">
        <x:v>L02</x:v>
      </x:c>
      <x:c r="L32" s="6" t="str"/>
      <x:c r="M32" s="6" t="str">
        <x:v>Original status and full fields preserved in inherited file. No implementation status promoted.</x:v>
      </x:c>
    </x:row>
    <x:row r="33" ht="72" customHeight="1">
      <x:c r="A33" s="6" t="str">
        <x:v>E08</x:v>
      </x:c>
      <x:c r="B33" s="6" t="str">
        <x:v>Legacy &amp; Compare 0.2</x:v>
      </x:c>
      <x:c r="C33" s="6" t="str">
        <x:v>Source versus DST</x:v>
      </x:c>
      <x:c r="D33" s="6" t="str">
        <x:v>inherited_0.2</x:v>
      </x:c>
      <x:c r="E33" s="6" t="str">
        <x:v>UNQUALIFIED</x:v>
      </x:c>
      <x:c r="F33" s="6" t="str">
        <x:v>NOT_RUN</x:v>
      </x:c>
      <x:c r="G33" s="6" t="str">
        <x:v>engine</x:v>
      </x:c>
      <x:c r="H33" s="6" t="str">
        <x:v>M2-COMPARE</x:v>
      </x:c>
      <x:c r="I33" s="6" t="str">
        <x:v>acceptance</x:v>
      </x:c>
      <x:c r="J33" s="6" t="str">
        <x:v>See compatibility-and-compare.md; developer utility only where explicitly recorded.</x:v>
      </x:c>
      <x:c r="K33" s="6" t="str">
        <x:v>L02</x:v>
      </x:c>
      <x:c r="L33" s="6" t="str"/>
      <x:c r="M33" s="6" t="str">
        <x:v>Original status and full fields preserved in inherited file. No implementation status promoted.</x:v>
      </x:c>
    </x:row>
    <x:row r="34" ht="72" customHeight="1">
      <x:c r="A34" s="6" t="str">
        <x:v>E09</x:v>
      </x:c>
      <x:c r="B34" s="6" t="str">
        <x:v>Legacy &amp; Compare 0.2</x:v>
      </x:c>
      <x:c r="C34" s="6" t="str">
        <x:v>PDF source</x:v>
      </x:c>
      <x:c r="D34" s="6" t="str">
        <x:v>inherited_0.2</x:v>
      </x:c>
      <x:c r="E34" s="6" t="str">
        <x:v>UNQUALIFIED</x:v>
      </x:c>
      <x:c r="F34" s="6" t="str">
        <x:v>NOT_RUN</x:v>
      </x:c>
      <x:c r="G34" s="6" t="str">
        <x:v>assets</x:v>
      </x:c>
      <x:c r="H34" s="6" t="str">
        <x:v>M2-COMPARE</x:v>
      </x:c>
      <x:c r="I34" s="6" t="str">
        <x:v>acceptance</x:v>
      </x:c>
      <x:c r="J34" s="6" t="str">
        <x:v>See compatibility-and-compare.md; developer utility only where explicitly recorded.</x:v>
      </x:c>
      <x:c r="K34" s="6" t="str">
        <x:v>L02</x:v>
      </x:c>
      <x:c r="L34" s="6" t="str"/>
      <x:c r="M34" s="6" t="str">
        <x:v>Original status and full fields preserved in inherited file. No implementation status promoted.</x:v>
      </x:c>
    </x:row>
    <x:row r="35" ht="72" customHeight="1">
      <x:c r="A35" s="6" t="str">
        <x:v>E10</x:v>
      </x:c>
      <x:c r="B35" s="6" t="str">
        <x:v>Legacy &amp; Compare 0.2</x:v>
      </x:c>
      <x:c r="C35" s="6" t="str">
        <x:v>PDF proof</x:v>
      </x:c>
      <x:c r="D35" s="6" t="str">
        <x:v>inherited_0.2</x:v>
      </x:c>
      <x:c r="E35" s="6" t="str">
        <x:v>UNQUALIFIED</x:v>
      </x:c>
      <x:c r="F35" s="6" t="str">
        <x:v>NOT_RUN</x:v>
      </x:c>
      <x:c r="G35" s="6" t="str">
        <x:v>proof</x:v>
      </x:c>
      <x:c r="H35" s="6" t="str">
        <x:v>M2-COMPARE</x:v>
      </x:c>
      <x:c r="I35" s="6" t="str">
        <x:v>acceptance</x:v>
      </x:c>
      <x:c r="J35" s="6" t="str">
        <x:v>See compatibility-and-compare.md; developer utility only where explicitly recorded.</x:v>
      </x:c>
      <x:c r="K35" s="6" t="str">
        <x:v>L02</x:v>
      </x:c>
      <x:c r="L35" s="6" t="str"/>
      <x:c r="M35" s="6" t="str">
        <x:v>Original status and full fields preserved in inherited file. No implementation status promoted.</x:v>
      </x:c>
    </x:row>
    <x:row r="36" ht="72" customHeight="1">
      <x:c r="A36" s="6" t="str">
        <x:v>E11</x:v>
      </x:c>
      <x:c r="B36" s="6" t="str">
        <x:v>Legacy &amp; Compare 0.2</x:v>
      </x:c>
      <x:c r="C36" s="6" t="str">
        <x:v>Actual-size print</x:v>
      </x:c>
      <x:c r="D36" s="6" t="str">
        <x:v>inherited_0.2</x:v>
      </x:c>
      <x:c r="E36" s="6" t="str">
        <x:v>UNQUALIFIED</x:v>
      </x:c>
      <x:c r="F36" s="6" t="str">
        <x:v>NOT_RUN</x:v>
      </x:c>
      <x:c r="G36" s="6" t="str">
        <x:v>proof</x:v>
      </x:c>
      <x:c r="H36" s="6" t="str">
        <x:v>M2-COMPARE</x:v>
      </x:c>
      <x:c r="I36" s="6" t="str">
        <x:v>acceptance</x:v>
      </x:c>
      <x:c r="J36" s="6" t="str">
        <x:v>See compatibility-and-compare.md; developer utility only where explicitly recorded.</x:v>
      </x:c>
      <x:c r="K36" s="6" t="str">
        <x:v>L02</x:v>
      </x:c>
      <x:c r="L36" s="6" t="str"/>
      <x:c r="M36" s="6" t="str">
        <x:v>Original status and full fields preserved in inherited file. No implementation status promoted.</x:v>
      </x:c>
    </x:row>
    <x:row r="37" ht="72" customHeight="1">
      <x:c r="A37" s="6" t="str">
        <x:v>E12</x:v>
      </x:c>
      <x:c r="B37" s="6" t="str">
        <x:v>Legacy &amp; Compare 0.2</x:v>
      </x:c>
      <x:c r="C37" s="6" t="str">
        <x:v>Linked comparisons</x:v>
      </x:c>
      <x:c r="D37" s="6" t="str">
        <x:v>inherited_0.2</x:v>
      </x:c>
      <x:c r="E37" s="6" t="str">
        <x:v>UNQUALIFIED</x:v>
      </x:c>
      <x:c r="F37" s="6" t="str">
        <x:v>NOT_RUN</x:v>
      </x:c>
      <x:c r="G37" s="6" t="str">
        <x:v>studio</x:v>
      </x:c>
      <x:c r="H37" s="6" t="str">
        <x:v>M2-COMPARE</x:v>
      </x:c>
      <x:c r="I37" s="6" t="str">
        <x:v>acceptance</x:v>
      </x:c>
      <x:c r="J37" s="6" t="str">
        <x:v>See compatibility-and-compare.md; developer utility only where explicitly recorded.</x:v>
      </x:c>
      <x:c r="K37" s="6" t="str">
        <x:v>L02</x:v>
      </x:c>
      <x:c r="L37" s="6" t="str"/>
      <x:c r="M37" s="6" t="str">
        <x:v>Original status and full fields preserved in inherited file. No implementation status promoted.</x:v>
      </x:c>
    </x:row>
    <x:row r="38" ht="72" customHeight="1">
      <x:c r="A38" s="6" t="str">
        <x:v>E13</x:v>
      </x:c>
      <x:c r="B38" s="6" t="str">
        <x:v>Legacy &amp; Compare 0.2</x:v>
      </x:c>
      <x:c r="C38" s="6" t="str">
        <x:v>Raster formats</x:v>
      </x:c>
      <x:c r="D38" s="6" t="str">
        <x:v>inherited_0.2</x:v>
      </x:c>
      <x:c r="E38" s="6" t="str">
        <x:v>UNQUALIFIED</x:v>
      </x:c>
      <x:c r="F38" s="6" t="str">
        <x:v>NOT_RUN</x:v>
      </x:c>
      <x:c r="G38" s="6" t="str">
        <x:v>assets</x:v>
      </x:c>
      <x:c r="H38" s="6" t="str">
        <x:v>M2-COMPARE</x:v>
      </x:c>
      <x:c r="I38" s="6" t="str">
        <x:v>acceptance</x:v>
      </x:c>
      <x:c r="J38" s="6" t="str">
        <x:v>See compatibility-and-compare.md; developer utility only where explicitly recorded.</x:v>
      </x:c>
      <x:c r="K38" s="6" t="str">
        <x:v>L02</x:v>
      </x:c>
      <x:c r="L38" s="6" t="str"/>
      <x:c r="M38" s="6" t="str">
        <x:v>Original status and full fields preserved in inherited file. No implementation status promoted.</x:v>
      </x:c>
    </x:row>
    <x:row r="39" ht="72" customHeight="1">
      <x:c r="A39" s="6" t="str">
        <x:v>E14</x:v>
      </x:c>
      <x:c r="B39" s="6" t="str">
        <x:v>Legacy &amp; Compare 0.2</x:v>
      </x:c>
      <x:c r="C39" s="6" t="str">
        <x:v>Vector formats</x:v>
      </x:c>
      <x:c r="D39" s="6" t="str">
        <x:v>inherited_0.2</x:v>
      </x:c>
      <x:c r="E39" s="6" t="str">
        <x:v>UNQUALIFIED</x:v>
      </x:c>
      <x:c r="F39" s="6" t="str">
        <x:v>NOT_RUN</x:v>
      </x:c>
      <x:c r="G39" s="6" t="str">
        <x:v>assets</x:v>
      </x:c>
      <x:c r="H39" s="6" t="str">
        <x:v>M2-COMPARE</x:v>
      </x:c>
      <x:c r="I39" s="6" t="str">
        <x:v>acceptance</x:v>
      </x:c>
      <x:c r="J39" s="6" t="str">
        <x:v>See compatibility-and-compare.md; developer utility only where explicitly recorded.</x:v>
      </x:c>
      <x:c r="K39" s="6" t="str">
        <x:v>L02</x:v>
      </x:c>
      <x:c r="L39" s="6" t="str"/>
      <x:c r="M39" s="6" t="str">
        <x:v>Original status and full fields preserved in inherited file. No implementation status promoted.</x:v>
      </x:c>
    </x:row>
    <x:row r="40" ht="72" customHeight="1">
      <x:c r="A40" s="6" t="str">
        <x:v>E15</x:v>
      </x:c>
      <x:c r="B40" s="6" t="str">
        <x:v>Legacy &amp; Compare 0.2</x:v>
      </x:c>
      <x:c r="C40" s="6" t="str">
        <x:v>Embroidery formats</x:v>
      </x:c>
      <x:c r="D40" s="6" t="str">
        <x:v>inherited_0.2</x:v>
      </x:c>
      <x:c r="E40" s="6" t="str">
        <x:v>UNQUALIFIED</x:v>
      </x:c>
      <x:c r="F40" s="6" t="str">
        <x:v>NOT_RUN</x:v>
      </x:c>
      <x:c r="G40" s="6" t="str">
        <x:v>formats</x:v>
      </x:c>
      <x:c r="H40" s="6" t="str">
        <x:v>M2-COMPARE</x:v>
      </x:c>
      <x:c r="I40" s="6" t="str">
        <x:v>acceptance</x:v>
      </x:c>
      <x:c r="J40" s="6" t="str">
        <x:v>See compatibility-and-compare.md; developer utility only where explicitly recorded.</x:v>
      </x:c>
      <x:c r="K40" s="6" t="str">
        <x:v>L02</x:v>
      </x:c>
      <x:c r="L40" s="6" t="str"/>
      <x:c r="M40" s="6" t="str">
        <x:v>Original status and full fields preserved in inherited file. No implementation status promoted.</x:v>
      </x:c>
    </x:row>
    <x:row r="41" ht="72" customHeight="1">
      <x:c r="A41" s="6" t="str">
        <x:v>E16</x:v>
      </x:c>
      <x:c r="B41" s="6" t="str">
        <x:v>Legacy &amp; Compare 0.2</x:v>
      </x:c>
      <x:c r="C41" s="6" t="str">
        <x:v>DTS ambiguity</x:v>
      </x:c>
      <x:c r="D41" s="6" t="str">
        <x:v>inherited_0.2</x:v>
      </x:c>
      <x:c r="E41" s="6" t="str">
        <x:v>UNQUALIFIED</x:v>
      </x:c>
      <x:c r="F41" s="6" t="str">
        <x:v>NOT_RUN</x:v>
      </x:c>
      <x:c r="G41" s="6" t="str">
        <x:v>formats</x:v>
      </x:c>
      <x:c r="H41" s="6" t="str">
        <x:v>M2-COMPARE</x:v>
      </x:c>
      <x:c r="I41" s="6" t="str">
        <x:v>acceptance</x:v>
      </x:c>
      <x:c r="J41" s="6" t="str">
        <x:v>See compatibility-and-compare.md; developer utility only where explicitly recorded.</x:v>
      </x:c>
      <x:c r="K41" s="6" t="str">
        <x:v>L02</x:v>
      </x:c>
      <x:c r="L41" s="6" t="str"/>
      <x:c r="M41" s="6" t="str">
        <x:v>Original status and full fields preserved in inherited file. No implementation status promoted.</x:v>
      </x:c>
    </x:row>
    <x:row r="42" ht="72" customHeight="1">
      <x:c r="A42" s="6" t="str">
        <x:v>E17</x:v>
      </x:c>
      <x:c r="B42" s="6" t="str">
        <x:v>Legacy &amp; Compare 0.2</x:v>
      </x:c>
      <x:c r="C42" s="6" t="str">
        <x:v>Scanner adapters</x:v>
      </x:c>
      <x:c r="D42" s="6" t="str">
        <x:v>inherited_0.2</x:v>
      </x:c>
      <x:c r="E42" s="6" t="str">
        <x:v>UNQUALIFIED</x:v>
      </x:c>
      <x:c r="F42" s="6" t="str">
        <x:v>NOT_RUN</x:v>
      </x:c>
      <x:c r="G42" s="6" t="str">
        <x:v>devices</x:v>
      </x:c>
      <x:c r="H42" s="6" t="str">
        <x:v>M2-COMPARE</x:v>
      </x:c>
      <x:c r="I42" s="6" t="str">
        <x:v>acceptance</x:v>
      </x:c>
      <x:c r="J42" s="6" t="str">
        <x:v>See compatibility-and-compare.md; developer utility only where explicitly recorded.</x:v>
      </x:c>
      <x:c r="K42" s="6" t="str">
        <x:v>L02</x:v>
      </x:c>
      <x:c r="L42" s="6" t="str"/>
      <x:c r="M42" s="6" t="str">
        <x:v>Original status and full fields preserved in inherited file. No implementation status promoted.</x:v>
      </x:c>
    </x:row>
    <x:row r="43" ht="72" customHeight="1">
      <x:c r="A43" s="6" t="str">
        <x:v>E18</x:v>
      </x:c>
      <x:c r="B43" s="6" t="str">
        <x:v>Legacy &amp; Compare 0.2</x:v>
      </x:c>
      <x:c r="C43" s="6" t="str">
        <x:v>Legacy driver bitness</x:v>
      </x:c>
      <x:c r="D43" s="6" t="str">
        <x:v>inherited_0.2</x:v>
      </x:c>
      <x:c r="E43" s="6" t="str">
        <x:v>UNQUALIFIED</x:v>
      </x:c>
      <x:c r="F43" s="6" t="str">
        <x:v>NOT_RUN</x:v>
      </x:c>
      <x:c r="G43" s="6" t="str">
        <x:v>devices</x:v>
      </x:c>
      <x:c r="H43" s="6" t="str">
        <x:v>M2-COMPARE</x:v>
      </x:c>
      <x:c r="I43" s="6" t="str">
        <x:v>acceptance</x:v>
      </x:c>
      <x:c r="J43" s="6" t="str">
        <x:v>See compatibility-and-compare.md; developer utility only where explicitly recorded.</x:v>
      </x:c>
      <x:c r="K43" s="6" t="str">
        <x:v>L02</x:v>
      </x:c>
      <x:c r="L43" s="6" t="str"/>
      <x:c r="M43" s="6" t="str">
        <x:v>Original status and full fields preserved in inherited file. No implementation status promoted.</x:v>
      </x:c>
    </x:row>
    <x:row r="44" ht="72" customHeight="1">
      <x:c r="A44" s="6" t="str">
        <x:v>E19</x:v>
      </x:c>
      <x:c r="B44" s="6" t="str">
        <x:v>Legacy &amp; Compare 0.2</x:v>
      </x:c>
      <x:c r="C44" s="6" t="str">
        <x:v>Pen input</x:v>
      </x:c>
      <x:c r="D44" s="6" t="str">
        <x:v>inherited_0.2</x:v>
      </x:c>
      <x:c r="E44" s="6" t="str">
        <x:v>UNQUALIFIED</x:v>
      </x:c>
      <x:c r="F44" s="6" t="str">
        <x:v>NOT_RUN</x:v>
      </x:c>
      <x:c r="G44" s="6" t="str">
        <x:v>devices</x:v>
      </x:c>
      <x:c r="H44" s="6" t="str">
        <x:v>M2-COMPARE</x:v>
      </x:c>
      <x:c r="I44" s="6" t="str">
        <x:v>acceptance</x:v>
      </x:c>
      <x:c r="J44" s="6" t="str">
        <x:v>See compatibility-and-compare.md; developer utility only where explicitly recorded.</x:v>
      </x:c>
      <x:c r="K44" s="6" t="str">
        <x:v>L02</x:v>
      </x:c>
      <x:c r="L44" s="6" t="str"/>
      <x:c r="M44" s="6" t="str">
        <x:v>Original status and full fields preserved in inherited file. No implementation status promoted.</x:v>
      </x:c>
    </x:row>
    <x:row r="45" ht="72" customHeight="1">
      <x:c r="A45" s="6" t="str">
        <x:v>E20</x:v>
      </x:c>
      <x:c r="B45" s="6" t="str">
        <x:v>Legacy &amp; Compare 0.2</x:v>
      </x:c>
      <x:c r="C45" s="6" t="str">
        <x:v>Print adapters</x:v>
      </x:c>
      <x:c r="D45" s="6" t="str">
        <x:v>inherited_0.2</x:v>
      </x:c>
      <x:c r="E45" s="6" t="str">
        <x:v>UNQUALIFIED</x:v>
      </x:c>
      <x:c r="F45" s="6" t="str">
        <x:v>NOT_RUN</x:v>
      </x:c>
      <x:c r="G45" s="6" t="str">
        <x:v>devices</x:v>
      </x:c>
      <x:c r="H45" s="6" t="str">
        <x:v>M2-COMPARE</x:v>
      </x:c>
      <x:c r="I45" s="6" t="str">
        <x:v>acceptance</x:v>
      </x:c>
      <x:c r="J45" s="6" t="str">
        <x:v>See compatibility-and-compare.md; developer utility only where explicitly recorded.</x:v>
      </x:c>
      <x:c r="K45" s="6" t="str">
        <x:v>L02</x:v>
      </x:c>
      <x:c r="L45" s="6" t="str"/>
      <x:c r="M45" s="6" t="str">
        <x:v>Original status and full fields preserved in inherited file. No implementation status promoted.</x:v>
      </x:c>
    </x:row>
    <x:row r="46" ht="72" customHeight="1">
      <x:c r="A46" s="6" t="str">
        <x:v>E21</x:v>
      </x:c>
      <x:c r="B46" s="6" t="str">
        <x:v>Legacy &amp; Compare 0.2</x:v>
      </x:c>
      <x:c r="C46" s="6" t="str">
        <x:v>AI providers</x:v>
      </x:c>
      <x:c r="D46" s="6" t="str">
        <x:v>inherited_0.2</x:v>
      </x:c>
      <x:c r="E46" s="6" t="str">
        <x:v>UNQUALIFIED</x:v>
      </x:c>
      <x:c r="F46" s="6" t="str">
        <x:v>NOT_RUN</x:v>
      </x:c>
      <x:c r="G46" s="6" t="str">
        <x:v>ai</x:v>
      </x:c>
      <x:c r="H46" s="6" t="str">
        <x:v>M2-COMPARE</x:v>
      </x:c>
      <x:c r="I46" s="6" t="str">
        <x:v>acceptance</x:v>
      </x:c>
      <x:c r="J46" s="6" t="str">
        <x:v>See compatibility-and-compare.md; developer utility only where explicitly recorded.</x:v>
      </x:c>
      <x:c r="K46" s="6" t="str">
        <x:v>L02</x:v>
      </x:c>
      <x:c r="L46" s="6" t="str"/>
      <x:c r="M46" s="6" t="str">
        <x:v>Original status and full fields preserved in inherited file. No implementation status promoted.</x:v>
      </x:c>
    </x:row>
    <x:row r="47" ht="72" customHeight="1">
      <x:c r="A47" s="6" t="str">
        <x:v>E22</x:v>
      </x:c>
      <x:c r="B47" s="6" t="str">
        <x:v>Legacy &amp; Compare 0.2</x:v>
      </x:c>
      <x:c r="C47" s="6" t="str">
        <x:v>No local-AI prerequisite</x:v>
      </x:c>
      <x:c r="D47" s="6" t="str">
        <x:v>inherited_0.2</x:v>
      </x:c>
      <x:c r="E47" s="6" t="str">
        <x:v>UNQUALIFIED</x:v>
      </x:c>
      <x:c r="F47" s="6" t="str">
        <x:v>NOT_RUN</x:v>
      </x:c>
      <x:c r="G47" s="6" t="str">
        <x:v>ai</x:v>
      </x:c>
      <x:c r="H47" s="6" t="str">
        <x:v>M2-COMPARE</x:v>
      </x:c>
      <x:c r="I47" s="6" t="str">
        <x:v>acceptance</x:v>
      </x:c>
      <x:c r="J47" s="6" t="str">
        <x:v>See compatibility-and-compare.md; developer utility only where explicitly recorded.</x:v>
      </x:c>
      <x:c r="K47" s="6" t="str">
        <x:v>L02</x:v>
      </x:c>
      <x:c r="L47" s="6" t="str"/>
      <x:c r="M47" s="6" t="str">
        <x:v>Original status and full fields preserved in inherited file. No implementation status promoted.</x:v>
      </x:c>
    </x:row>
    <x:row r="48" ht="72" customHeight="1">
      <x:c r="A48" s="6" t="str">
        <x:v>E23</x:v>
      </x:c>
      <x:c r="B48" s="6" t="str">
        <x:v>Legacy &amp; Compare 0.2</x:v>
      </x:c>
      <x:c r="C48" s="6" t="str">
        <x:v>AI authority separation</x:v>
      </x:c>
      <x:c r="D48" s="6" t="str">
        <x:v>inherited_0.2</x:v>
      </x:c>
      <x:c r="E48" s="6" t="str">
        <x:v>UNQUALIFIED</x:v>
      </x:c>
      <x:c r="F48" s="6" t="str">
        <x:v>NOT_RUN</x:v>
      </x:c>
      <x:c r="G48" s="6" t="str">
        <x:v>security</x:v>
      </x:c>
      <x:c r="H48" s="6" t="str">
        <x:v>M2-COMPARE</x:v>
      </x:c>
      <x:c r="I48" s="6" t="str">
        <x:v>acceptance</x:v>
      </x:c>
      <x:c r="J48" s="6" t="str">
        <x:v>See compatibility-and-compare.md; developer utility only where explicitly recorded.</x:v>
      </x:c>
      <x:c r="K48" s="6" t="str">
        <x:v>L02</x:v>
      </x:c>
      <x:c r="L48" s="6" t="str"/>
      <x:c r="M48" s="6" t="str">
        <x:v>Original status and full fields preserved in inherited file. No implementation status promoted.</x:v>
      </x:c>
    </x:row>
    <x:row r="49" ht="72" customHeight="1">
      <x:c r="A49" s="6" t="str">
        <x:v>E24</x:v>
      </x:c>
      <x:c r="B49" s="6" t="str">
        <x:v>Legacy &amp; Compare 0.2</x:v>
      </x:c>
      <x:c r="C49" s="6" t="str">
        <x:v>Legacy machines</x:v>
      </x:c>
      <x:c r="D49" s="6" t="str">
        <x:v>inherited_0.2</x:v>
      </x:c>
      <x:c r="E49" s="6" t="str">
        <x:v>UNQUALIFIED</x:v>
      </x:c>
      <x:c r="F49" s="6" t="str">
        <x:v>NOT_RUN</x:v>
      </x:c>
      <x:c r="G49" s="6" t="str">
        <x:v>devices</x:v>
      </x:c>
      <x:c r="H49" s="6" t="str">
        <x:v>M2-COMPARE</x:v>
      </x:c>
      <x:c r="I49" s="6" t="str">
        <x:v>acceptance</x:v>
      </x:c>
      <x:c r="J49" s="6" t="str">
        <x:v>See compatibility-and-compare.md; developer utility only where explicitly recorded.</x:v>
      </x:c>
      <x:c r="K49" s="6" t="str">
        <x:v>L02</x:v>
      </x:c>
      <x:c r="L49" s="6" t="str"/>
      <x:c r="M49" s="6" t="str">
        <x:v>Original status and full fields preserved in inherited file. No implementation status promoted.</x:v>
      </x:c>
    </x:row>
    <x:row r="50" ht="72" customHeight="1">
      <x:c r="A50" s="6" t="str">
        <x:v>E25</x:v>
      </x:c>
      <x:c r="B50" s="6" t="str">
        <x:v>Legacy &amp; Compare 0.2</x:v>
      </x:c>
      <x:c r="C50" s="6" t="str">
        <x:v>Calibration scope</x:v>
      </x:c>
      <x:c r="D50" s="6" t="str">
        <x:v>inherited_0.2</x:v>
      </x:c>
      <x:c r="E50" s="6" t="str">
        <x:v>UNQUALIFIED</x:v>
      </x:c>
      <x:c r="F50" s="6" t="str">
        <x:v>NOT_RUN</x:v>
      </x:c>
      <x:c r="G50" s="6" t="str">
        <x:v>calibration</x:v>
      </x:c>
      <x:c r="H50" s="6" t="str">
        <x:v>M2-COMPARE</x:v>
      </x:c>
      <x:c r="I50" s="6" t="str">
        <x:v>acceptance</x:v>
      </x:c>
      <x:c r="J50" s="6" t="str">
        <x:v>See compatibility-and-compare.md; developer utility only where explicitly recorded.</x:v>
      </x:c>
      <x:c r="K50" s="6" t="str">
        <x:v>L02</x:v>
      </x:c>
      <x:c r="L50" s="6" t="str"/>
      <x:c r="M50" s="6" t="str">
        <x:v>Original status and full fields preserved in inherited file. No implementation status promoted.</x:v>
      </x:c>
    </x:row>
    <x:row r="51" ht="72" customHeight="1">
      <x:c r="A51" s="6" t="str">
        <x:v>E26</x:v>
      </x:c>
      <x:c r="B51" s="6" t="str">
        <x:v>Legacy &amp; Compare 0.2</x:v>
      </x:c>
      <x:c r="C51" s="6" t="str">
        <x:v>Provenance and stale views</x:v>
      </x:c>
      <x:c r="D51" s="6" t="str">
        <x:v>inherited_0.2</x:v>
      </x:c>
      <x:c r="E51" s="6" t="str">
        <x:v>UNQUALIFIED</x:v>
      </x:c>
      <x:c r="F51" s="6" t="str">
        <x:v>NOT_RUN</x:v>
      </x:c>
      <x:c r="G51" s="6" t="str">
        <x:v>security</x:v>
      </x:c>
      <x:c r="H51" s="6" t="str">
        <x:v>M2-COMPARE</x:v>
      </x:c>
      <x:c r="I51" s="6" t="str">
        <x:v>acceptance</x:v>
      </x:c>
      <x:c r="J51" s="6" t="str">
        <x:v>See compatibility-and-compare.md; developer utility only where explicitly recorded.</x:v>
      </x:c>
      <x:c r="K51" s="6" t="str">
        <x:v>L02</x:v>
      </x:c>
      <x:c r="L51" s="6" t="str"/>
      <x:c r="M51" s="6" t="str">
        <x:v>Original status and full fields preserved in inherited file. No implementation status promoted.</x:v>
      </x:c>
    </x:row>
    <x:row r="52" ht="72" customHeight="1">
      <x:c r="A52" s="6" t="str">
        <x:v>E27</x:v>
      </x:c>
      <x:c r="B52" s="6" t="str">
        <x:v>Legacy &amp; Compare 0.2</x:v>
      </x:c>
      <x:c r="C52" s="6" t="str">
        <x:v>Resource isolation</x:v>
      </x:c>
      <x:c r="D52" s="6" t="str">
        <x:v>inherited_0.2</x:v>
      </x:c>
      <x:c r="E52" s="6" t="str">
        <x:v>UNQUALIFIED</x:v>
      </x:c>
      <x:c r="F52" s="6" t="str">
        <x:v>NOT_RUN</x:v>
      </x:c>
      <x:c r="G52" s="6" t="str">
        <x:v>security</x:v>
      </x:c>
      <x:c r="H52" s="6" t="str">
        <x:v>M2-COMPARE</x:v>
      </x:c>
      <x:c r="I52" s="6" t="str">
        <x:v>acceptance</x:v>
      </x:c>
      <x:c r="J52" s="6" t="str">
        <x:v>See compatibility-and-compare.md; developer utility only where explicitly recorded.</x:v>
      </x:c>
      <x:c r="K52" s="6" t="str">
        <x:v>L02</x:v>
      </x:c>
      <x:c r="L52" s="6" t="str"/>
      <x:c r="M52" s="6" t="str">
        <x:v>Original status and full fields preserved in inherited file. No implementation status promoted.</x:v>
      </x:c>
    </x:row>
    <x:row r="53" ht="72" customHeight="1">
      <x:c r="A53" s="6" t="str">
        <x:v>E28</x:v>
      </x:c>
      <x:c r="B53" s="6" t="str">
        <x:v>Legacy &amp; Compare 0.2</x:v>
      </x:c>
      <x:c r="C53" s="6" t="str">
        <x:v>Deterministic export</x:v>
      </x:c>
      <x:c r="D53" s="6" t="str">
        <x:v>inherited_0.2</x:v>
      </x:c>
      <x:c r="E53" s="6" t="str">
        <x:v>UNQUALIFIED</x:v>
      </x:c>
      <x:c r="F53" s="6" t="str">
        <x:v>NOT_RUN</x:v>
      </x:c>
      <x:c r="G53" s="6" t="str">
        <x:v>engine</x:v>
      </x:c>
      <x:c r="H53" s="6" t="str">
        <x:v>M2-COMPARE</x:v>
      </x:c>
      <x:c r="I53" s="6" t="str">
        <x:v>acceptance</x:v>
      </x:c>
      <x:c r="J53" s="6" t="str">
        <x:v>See compatibility-and-compare.md; developer utility only where explicitly recorded.</x:v>
      </x:c>
      <x:c r="K53" s="6" t="str">
        <x:v>L02</x:v>
      </x:c>
      <x:c r="L53" s="6" t="str"/>
      <x:c r="M53" s="6" t="str">
        <x:v>Original status and full fields preserved in inherited file. No implementation status promoted.</x:v>
      </x:c>
    </x:row>
    <x:row r="54" ht="72" customHeight="1">
      <x:c r="A54" s="6" t="str">
        <x:v>E29</x:v>
      </x:c>
      <x:c r="B54" s="6" t="str">
        <x:v>Legacy &amp; Compare 0.2</x:v>
      </x:c>
      <x:c r="C54" s="6" t="str">
        <x:v>Accessibility</x:v>
      </x:c>
      <x:c r="D54" s="6" t="str">
        <x:v>inherited_0.2</x:v>
      </x:c>
      <x:c r="E54" s="6" t="str">
        <x:v>UNQUALIFIED</x:v>
      </x:c>
      <x:c r="F54" s="6" t="str">
        <x:v>NOT_RUN</x:v>
      </x:c>
      <x:c r="G54" s="6" t="str">
        <x:v>studio</x:v>
      </x:c>
      <x:c r="H54" s="6" t="str">
        <x:v>M2-COMPARE</x:v>
      </x:c>
      <x:c r="I54" s="6" t="str">
        <x:v>acceptance</x:v>
      </x:c>
      <x:c r="J54" s="6" t="str">
        <x:v>See compatibility-and-compare.md; developer utility only where explicitly recorded.</x:v>
      </x:c>
      <x:c r="K54" s="6" t="str">
        <x:v>L02</x:v>
      </x:c>
      <x:c r="L54" s="6" t="str"/>
      <x:c r="M54" s="6" t="str">
        <x:v>Original status and full fields preserved in inherited file. No implementation status promoted.</x:v>
      </x:c>
    </x:row>
    <x:row r="55" ht="72" customHeight="1">
      <x:c r="A55" s="6" t="str">
        <x:v>E30</x:v>
      </x:c>
      <x:c r="B55" s="6" t="str">
        <x:v>Legacy &amp; Compare 0.2</x:v>
      </x:c>
      <x:c r="C55" s="6" t="str">
        <x:v>Conformance scope</x:v>
      </x:c>
      <x:c r="D55" s="6" t="str">
        <x:v>inherited_0.2</x:v>
      </x:c>
      <x:c r="E55" s="6" t="str">
        <x:v>UNQUALIFIED</x:v>
      </x:c>
      <x:c r="F55" s="6" t="str">
        <x:v>NOT_RUN</x:v>
      </x:c>
      <x:c r="G55" s="6" t="str">
        <x:v>assurance</x:v>
      </x:c>
      <x:c r="H55" s="6" t="str">
        <x:v>M2-COMPARE</x:v>
      </x:c>
      <x:c r="I55" s="6" t="str">
        <x:v>acceptance</x:v>
      </x:c>
      <x:c r="J55" s="6" t="str">
        <x:v>See compatibility-and-compare.md; developer utility only where explicitly recorded.</x:v>
      </x:c>
      <x:c r="K55" s="6" t="str">
        <x:v>L02</x:v>
      </x:c>
      <x:c r="L55" s="6" t="str"/>
      <x:c r="M55" s="6" t="str">
        <x:v>Original status and full fields preserved in inherited file. No implementation status promoted.</x:v>
      </x:c>
    </x:row>
    <x:row r="56" ht="72" customHeight="1">
      <x:c r="A56" s="6" t="str">
        <x:v>G01</x:v>
      </x:c>
      <x:c r="B56" s="6" t="str">
        <x:v>Foundation</x:v>
      </x:c>
      <x:c r="C56" s="6" t="str">
        <x:v>Native M1 acceptance</x:v>
      </x:c>
      <x:c r="D56" s="6" t="str">
        <x:v>engineering_gate</x:v>
      </x:c>
      <x:c r="E56" s="6" t="str">
        <x:v>CANDIDATE_SUBSET</x:v>
      </x:c>
      <x:c r="F56" s="6" t="str">
        <x:v>NOT_RUN</x:v>
      </x:c>
      <x:c r="G56" s="6" t="str">
        <x:v>product engineering</x:v>
      </x:c>
      <x:c r="H56" s="6" t="str">
        <x:v>M1-GATE</x:v>
      </x:c>
      <x:c r="I56" s="6" t="str">
        <x:v>native_e2e</x:v>
      </x:c>
      <x:c r="J56" s="6" t="str">
        <x:v>Run the real Rust path and existing suites on a pinned review commit.</x:v>
      </x:c>
      <x:c r="K56" s="6" t="str">
        <x:v>M1, R1</x:v>
      </x:c>
      <x:c r="L56" s="6" t="str">
        <x:v>https://github.com/FrankAsanteVanLaarhoven/DST-Embroidery-AI/blob/98303601416a3b0d68eae37e939031732bd77c45/docs/engine.md</x:v>
      </x:c>
      <x:c r="M56" s="6" t="str"/>
    </x:row>
    <x:row r="57" ht="72" customHeight="1">
      <x:c r="A57" s="6" t="str">
        <x:v>G02</x:v>
      </x:c>
      <x:c r="B57" s="6" t="str">
        <x:v>Foundation</x:v>
      </x:c>
      <x:c r="C57" s="6" t="str">
        <x:v>Robust geometry and explicit units</x:v>
      </x:c>
      <x:c r="D57" s="6" t="str">
        <x:v>engineering_gate</x:v>
      </x:c>
      <x:c r="E57" s="6" t="str">
        <x:v>PLANNED</x:v>
      </x:c>
      <x:c r="F57" s="6" t="str">
        <x:v>NOT_RUN</x:v>
      </x:c>
      <x:c r="G57" s="6" t="str">
        <x:v>product engineering</x:v>
      </x:c>
      <x:c r="H57" s="6" t="str">
        <x:v>M3-GEOMETRY</x:v>
      </x:c>
      <x:c r="I57" s="6" t="str">
        <x:v>generate, validate</x:v>
      </x:c>
      <x:c r="J57" s="6" t="str">
        <x:v>Add bounded polygon Boolean, offset, hole and topology handling with object provenance.</x:v>
      </x:c>
      <x:c r="K57" s="6" t="str">
        <x:v>R1, P1</x:v>
      </x:c>
      <x:c r="L57" s="6" t="str">
        <x:v>https://github.com/FrankAsanteVanLaarhoven/DST-Embroidery-AI/blob/98303601416a3b0d68eae37e939031732bd77c45/docs/engine.md</x:v>
      </x:c>
      <x:c r="M57" s="6" t="str"/>
    </x:row>
    <x:row r="58" ht="72" customHeight="1">
      <x:c r="A58" s="6" t="str">
        <x:v>G03</x:v>
      </x:c>
      <x:c r="B58" s="6" t="str">
        <x:v>Foundation</x:v>
      </x:c>
      <x:c r="C58" s="6" t="str">
        <x:v>Immutable original and linked actual outputs</x:v>
      </x:c>
      <x:c r="D58" s="6" t="str">
        <x:v>engineering_gate</x:v>
      </x:c>
      <x:c r="E58" s="6" t="str">
        <x:v>REFERENCE_UTILITY</x:v>
      </x:c>
      <x:c r="F58" s="6" t="str">
        <x:v>NOT_RUN</x:v>
      </x:c>
      <x:c r="G58" s="6" t="str">
        <x:v>product engineering</x:v>
      </x:c>
      <x:c r="H58" s="6" t="str">
        <x:v>M2-COMPARE</x:v>
      </x:c>
      <x:c r="I58" s="6" t="str">
        <x:v>view, revision_test</x:v>
      </x:c>
      <x:c r="J58" s="6" t="str">
        <x:v>Integrate original assets, editable project, each decoded export, actual PDF and twin in one revision-bound review.</x:v>
      </x:c>
      <x:c r="K58" s="6" t="str">
        <x:v>L02, M1, P1</x:v>
      </x:c>
      <x:c r="L58" s="6" t="str"/>
      <x:c r="M58" s="6" t="str"/>
    </x:row>
    <x:row r="59" ht="72" customHeight="1">
      <x:c r="A59" s="6" t="str">
        <x:v>G04</x:v>
      </x:c>
      <x:c r="B59" s="6" t="str">
        <x:v>Foundation</x:v>
      </x:c>
      <x:c r="C59" s="6" t="str">
        <x:v>Operation-scoped capability evidence</x:v>
      </x:c>
      <x:c r="D59" s="6" t="str">
        <x:v>engineering_gate</x:v>
      </x:c>
      <x:c r="E59" s="6" t="str">
        <x:v>PLANNED</x:v>
      </x:c>
      <x:c r="F59" s="6" t="str">
        <x:v>NOT_RUN</x:v>
      </x:c>
      <x:c r="G59" s="6" t="str">
        <x:v>product engineering</x:v>
      </x:c>
      <x:c r="H59" s="6" t="str">
        <x:v>M1-GATE</x:v>
      </x:c>
      <x:c r="I59" s="6" t="str">
        <x:v>policy_test</x:v>
      </x:c>
      <x:c r="J59" s="6" t="str">
        <x:v>Separate code availability, demo visibility, software acceptance, transfer and physical qualification.</x:v>
      </x:c>
      <x:c r="K59" s="6" t="str">
        <x:v>P1</x:v>
      </x:c>
      <x:c r="L59" s="6" t="str"/>
      <x:c r="M59" s="6" t="str"/>
    </x:row>
    <x:row r="60" ht="72" customHeight="1">
      <x:c r="A60" s="6" t="str">
        <x:v>G05</x:v>
      </x:c>
      <x:c r="B60" s="6" t="str">
        <x:v>Foundation</x:v>
      </x:c>
      <x:c r="C60" s="6" t="str">
        <x:v>Artifact kind and typed backend dispatch</x:v>
      </x:c>
      <x:c r="D60" s="6" t="str">
        <x:v>engineering_gate</x:v>
      </x:c>
      <x:c r="E60" s="6" t="str">
        <x:v>PLANNED</x:v>
      </x:c>
      <x:c r="F60" s="6" t="str">
        <x:v>NOT_RUN</x:v>
      </x:c>
      <x:c r="G60" s="6" t="str">
        <x:v>product engineering</x:v>
      </x:c>
      <x:c r="H60" s="6" t="str">
        <x:v>M3-GEOMETRY</x:v>
      </x:c>
      <x:c r="I60" s="6" t="str">
        <x:v>routing_test</x:v>
      </x:c>
      <x:c r="J60" s="6" t="str">
        <x:v>Use artwork, embroidery, decorative_sewing, cutting, print, proof and machine_scene as distinct artifact kinds.</x:v>
      </x:c>
      <x:c r="K60" s="6" t="str">
        <x:v>B3, B4, P1</x:v>
      </x:c>
      <x:c r="L60" s="6" t="str">
        <x:v>https://support.brother.com/g/s/hf/htmldoc/ped/im/ped11/en/PED11.2_EN/pages/14_1207549.html</x:v>
      </x:c>
      <x:c r="M60" s="6" t="str"/>
    </x:row>
    <x:row r="61" ht="72" customHeight="1">
      <x:c r="A61" s="6" t="str">
        <x:v>SRC01</x:v>
      </x:c>
      <x:c r="B61" s="6" t="str">
        <x:v>Source scope</x:v>
      </x:c>
      <x:c r="C61" s="6" t="str">
        <x:v>Embird: more than 70 formats; over 20 brands</x:v>
      </x:c>
      <x:c r="D61" s="6" t="str">
        <x:v>user_feature</x:v>
      </x:c>
      <x:c r="E61" s="6" t="str">
        <x:v>PLANNED</x:v>
      </x:c>
      <x:c r="F61" s="6" t="str">
        <x:v>NOT_RUN</x:v>
      </x:c>
      <x:c r="G61" s="6" t="str">
        <x:v>product engineering</x:v>
      </x:c>
      <x:c r="H61" s="6" t="str">
        <x:v>M7-INTEROP</x:v>
      </x:c>
      <x:c r="I61" s="6" t="str">
        <x:v>inventory, import, export</x:v>
      </x:c>
      <x:c r="J61" s="6" t="str">
        <x:v>Maintain a versioned format/brand adapter inventory with operation-specific status.</x:v>
      </x:c>
      <x:c r="K61" s="6" t="str">
        <x:v>U1, E1</x:v>
      </x:c>
      <x:c r="L61" s="6" t="str">
        <x:v>https://www.embird.net/</x:v>
      </x:c>
      <x:c r="M61" s="6" t="str">
        <x:v>Vendor count is verified as advertised; our own 70+/20+ coverage has not been achieved.</x:v>
      </x:c>
    </x:row>
    <x:row r="62" ht="72" customHeight="1">
      <x:c r="A62" s="6" t="str">
        <x:v>SRC02</x:v>
      </x:c>
      <x:c r="B62" s="6" t="str">
        <x:v>Source scope</x:v>
      </x:c>
      <x:c r="C62" s="6" t="str">
        <x:v>Creator and DesignerPlus tiers</x:v>
      </x:c>
      <x:c r="D62" s="6" t="str">
        <x:v>user_feature</x:v>
      </x:c>
      <x:c r="E62" s="6" t="str">
        <x:v>PLANNED</x:v>
      </x:c>
      <x:c r="F62" s="6" t="str">
        <x:v>NOT_RUN</x:v>
      </x:c>
      <x:c r="G62" s="6" t="str">
        <x:v>product engineering</x:v>
      </x:c>
      <x:c r="H62" s="6" t="str">
        <x:v>M3-DIGITISE</x:v>
      </x:c>
      <x:c r="I62" s="6" t="str">
        <x:v>workflow_test</x:v>
      </x:c>
      <x:c r="J62" s="6" t="str">
        <x:v>Cover modification, digitising, cross stitch and quilting as explicit modules rather than assuming tier equivalence.</x:v>
      </x:c>
      <x:c r="K62" s="6" t="str">
        <x:v>U1, N1</x:v>
      </x:c>
      <x:c r="L62" s="6" t="str">
        <x:v>https://softwarehelp.bernina.com/en/MainHelp/PART_Release/introduction/introduction-2.htm</x:v>
      </x:c>
      <x:c r="M62" s="6" t="str">
        <x:v>External identification: these tier names match BERNINA V9. Original leading text was not labelled with a vendor.</x:v>
      </x:c>
    </x:row>
    <x:row r="63" ht="72" customHeight="1">
      <x:c r="A63" s="6" t="str">
        <x:v>SRC03</x:v>
      </x:c>
      <x:c r="B63" s="6" t="str">
        <x:v>Source scope</x:v>
      </x:c>
      <x:c r="C63" s="6" t="str">
        <x:v>Approachable bitmap/vector digitising; sequencing</x:v>
      </x:c>
      <x:c r="D63" s="6" t="str">
        <x:v>user_feature</x:v>
      </x:c>
      <x:c r="E63" s="6" t="str">
        <x:v>PLANNED</x:v>
      </x:c>
      <x:c r="F63" s="6" t="str">
        <x:v>NOT_RUN</x:v>
      </x:c>
      <x:c r="G63" s="6" t="str">
        <x:v>product engineering</x:v>
      </x:c>
      <x:c r="H63" s="6" t="str">
        <x:v>M3-DIGITISE</x:v>
      </x:c>
      <x:c r="I63" s="6" t="str">
        <x:v>acceptance</x:v>
      </x:c>
      <x:c r="J63" s="6" t="str">
        <x:v>Retain the unlabelled competitor fragment as a functional requirement without inventing its vendor.</x:v>
      </x:c>
      <x:c r="K63" s="6" t="str">
        <x:v>U1</x:v>
      </x:c>
      <x:c r="L63" s="6" t="str"/>
      <x:c r="M63" s="6" t="str">
        <x:v>Product identity unresolved; no assignment to Hatch, DRAWings or another product.</x:v>
      </x:c>
    </x:row>
    <x:row r="64" ht="72" customHeight="1">
      <x:c r="A64" s="6" t="str">
        <x:v>SRC04</x:v>
      </x:c>
      <x:c r="B64" s="6" t="str">
        <x:v>Source scope</x:v>
      </x:c>
      <x:c r="C64" s="6" t="str">
        <x:v>2026 commercial tools and cloud Workspace</x:v>
      </x:c>
      <x:c r="D64" s="6" t="str">
        <x:v>user_feature</x:v>
      </x:c>
      <x:c r="E64" s="6" t="str">
        <x:v>PLANNED</x:v>
      </x:c>
      <x:c r="F64" s="6" t="str">
        <x:v>NOT_RUN</x:v>
      </x:c>
      <x:c r="G64" s="6" t="str">
        <x:v>product engineering</x:v>
      </x:c>
      <x:c r="H64" s="6" t="str">
        <x:v>M6-COLLAB</x:v>
      </x:c>
      <x:c r="I64" s="6" t="str">
        <x:v>view, edit, export, revision_test</x:v>
      </x:c>
      <x:c r="J64" s="6" t="str">
        <x:v>Cover browser viewing, controlled editing, conversion and library management; keep desktop/cloud scopes distinct.</x:v>
      </x:c>
      <x:c r="K64" s="6" t="str">
        <x:v>U1, W1, W2, W3</x:v>
      </x:c>
      <x:c r="L64" s="6" t="str">
        <x:v>https://wilcom.com/workspace/truesizer</x:v>
      </x:c>
      <x:c r="M64" s="6" t="str"/>
    </x:row>
    <x:row r="65" ht="72" customHeight="1">
      <x:c r="A65" s="6" t="str">
        <x:v>SRC05</x:v>
      </x:c>
      <x:c r="B65" s="6" t="str">
        <x:v>Source scope</x:v>
      </x:c>
      <x:c r="C65" s="6" t="str">
        <x:v>Font count variants: 100, 130 and hundreds</x:v>
      </x:c>
      <x:c r="D65" s="6" t="str">
        <x:v>user_feature</x:v>
      </x:c>
      <x:c r="E65" s="6" t="str">
        <x:v>PLANNED</x:v>
      </x:c>
      <x:c r="F65" s="6" t="str">
        <x:v>NOT_RUN</x:v>
      </x:c>
      <x:c r="G65" s="6" t="str">
        <x:v>product engineering</x:v>
      </x:c>
      <x:c r="H65" s="6" t="str">
        <x:v>M4-LETTERING</x:v>
      </x:c>
      <x:c r="I65" s="6" t="str">
        <x:v>inventory</x:v>
      </x:c>
      <x:c r="J65" s="6" t="str">
        <x:v>Preserve all supplied totals; resolve categories before publishing a competitive count.</x:v>
      </x:c>
      <x:c r="K65" s="6" t="str">
        <x:v>U1, B1, B8</x:v>
      </x:c>
      <x:c r="L65" s="6" t="str">
        <x:v>https://sewingcraft.brother.eu/en/products/machines/pe-design-software/pe-design-11</x:v>
      </x:c>
      <x:c r="M65" s="6" t="str">
        <x:v>The current Brother regional page also contains all three formulations; unresolved source inconsistency.</x:v>
      </x:c>
    </x:row>
    <x:row r="66" ht="72" customHeight="1">
      <x:c r="A66" s="6" t="str">
        <x:v>C01</x:v>
      </x:c>
      <x:c r="B66" s="6" t="str">
        <x:v>Creative library</x:v>
      </x:c>
      <x:c r="C66" s="6" t="str">
        <x:v>Creative Blog: inspiration and tutorials</x:v>
      </x:c>
      <x:c r="D66" s="6" t="str">
        <x:v>user_feature</x:v>
      </x:c>
      <x:c r="E66" s="6" t="str">
        <x:v>PLANNED</x:v>
      </x:c>
      <x:c r="F66" s="6" t="str">
        <x:v>NOT_RUN</x:v>
      </x:c>
      <x:c r="G66" s="6" t="str">
        <x:v>experience and content</x:v>
      </x:c>
      <x:c r="H66" s="6" t="str">
        <x:v>M6-CONTENT</x:v>
      </x:c>
      <x:c r="I66" s="6" t="str">
        <x:v>workflow_test</x:v>
      </x:c>
      <x:c r="J66" s="6" t="str">
        <x:v>Add an original Learn workspace with indexed tutorials and sample projects.</x:v>
      </x:c>
      <x:c r="K66" s="6" t="str">
        <x:v>U1, U2, B10</x:v>
      </x:c>
      <x:c r="L66" s="6" t="str">
        <x:v>https://sewingcraft.brother.eu/en/inspiration-and-events</x:v>
      </x:c>
      <x:c r="M66" s="6" t="str"/>
    </x:row>
    <x:row r="67" ht="72" customHeight="1">
      <x:c r="A67" s="6" t="str">
        <x:v>C02</x:v>
      </x:c>
      <x:c r="B67" s="6" t="str">
        <x:v>Creative library</x:v>
      </x:c>
      <x:c r="C67" s="6" t="str">
        <x:v>Free projects and monthly exclusive patterns</x:v>
      </x:c>
      <x:c r="D67" s="6" t="str">
        <x:v>user_feature</x:v>
      </x:c>
      <x:c r="E67" s="6" t="str">
        <x:v>PLANNED</x:v>
      </x:c>
      <x:c r="F67" s="6" t="str">
        <x:v>NOT_RUN</x:v>
      </x:c>
      <x:c r="G67" s="6" t="str">
        <x:v>experience and content</x:v>
      </x:c>
      <x:c r="H67" s="6" t="str">
        <x:v>M6-CONTENT</x:v>
      </x:c>
      <x:c r="I67" s="6" t="str">
        <x:v>workflow_test</x:v>
      </x:c>
      <x:c r="J67" s="6" t="str">
        <x:v>Provide licensed/original, versioned content releases with clear usage rights and availability.</x:v>
      </x:c>
      <x:c r="K67" s="6" t="str">
        <x:v>U1, U2, B10</x:v>
      </x:c>
      <x:c r="L67" s="6" t="str">
        <x:v>https://sewingcraft.brother.eu/en/inspiration-and-events</x:v>
      </x:c>
      <x:c r="M67" s="6" t="str"/>
    </x:row>
    <x:row r="68" ht="72" customHeight="1">
      <x:c r="A68" s="6" t="str">
        <x:v>C03</x:v>
      </x:c>
      <x:c r="B68" s="6" t="str">
        <x:v>Creative library</x:v>
      </x:c>
      <x:c r="C68" s="6" t="str">
        <x:v>Artspira-style mobile drawing</x:v>
      </x:c>
      <x:c r="D68" s="6" t="str">
        <x:v>user_feature</x:v>
      </x:c>
      <x:c r="E68" s="6" t="str">
        <x:v>PLANNED</x:v>
      </x:c>
      <x:c r="F68" s="6" t="str">
        <x:v>NOT_RUN</x:v>
      </x:c>
      <x:c r="G68" s="6" t="str">
        <x:v>experience and content</x:v>
      </x:c>
      <x:c r="H68" s="6" t="str">
        <x:v>M6-CONTENT</x:v>
      </x:c>
      <x:c r="I68" s="6" t="str">
        <x:v>workflow_test</x:v>
      </x:c>
      <x:c r="J68" s="6" t="str">
        <x:v>Provide pen/touch drawing, draft saving and desktop continuation without losing geometry.</x:v>
      </x:c>
      <x:c r="K68" s="6" t="str">
        <x:v>U1, B5</x:v>
      </x:c>
      <x:c r="L68" s="6" t="str">
        <x:v>https://sewingcraft.brother.eu/en/artspira</x:v>
      </x:c>
      <x:c r="M68" s="6" t="str"/>
    </x:row>
    <x:row r="69" ht="72" customHeight="1">
      <x:c r="A69" s="6" t="str">
        <x:v>C04</x:v>
      </x:c>
      <x:c r="B69" s="6" t="str">
        <x:v>Creative library</x:v>
      </x:c>
      <x:c r="C69" s="6" t="str">
        <x:v>Phone/tablet library and patterns</x:v>
      </x:c>
      <x:c r="D69" s="6" t="str">
        <x:v>user_feature</x:v>
      </x:c>
      <x:c r="E69" s="6" t="str">
        <x:v>PLANNED</x:v>
      </x:c>
      <x:c r="F69" s="6" t="str">
        <x:v>NOT_RUN</x:v>
      </x:c>
      <x:c r="G69" s="6" t="str">
        <x:v>experience and content</x:v>
      </x:c>
      <x:c r="H69" s="6" t="str">
        <x:v>M6-CONTENT</x:v>
      </x:c>
      <x:c r="I69" s="6" t="str">
        <x:v>workflow_test</x:v>
      </x:c>
      <x:c r="J69" s="6" t="str">
        <x:v>Provide searchable project cards and saved favourites with device-aware previews.</x:v>
      </x:c>
      <x:c r="K69" s="6" t="str">
        <x:v>U1, B5</x:v>
      </x:c>
      <x:c r="L69" s="6" t="str">
        <x:v>https://sewingcraft.brother.eu/en/artspira</x:v>
      </x:c>
      <x:c r="M69" s="6" t="str"/>
    </x:row>
    <x:row r="70" ht="72" customHeight="1">
      <x:c r="A70" s="6" t="str">
        <x:v>C05</x:v>
      </x:c>
      <x:c r="B70" s="6" t="str">
        <x:v>Creative library</x:v>
      </x:c>
      <x:c r="C70" s="6" t="str">
        <x:v>Compatible wireless machine transfer from mobile</x:v>
      </x:c>
      <x:c r="D70" s="6" t="str">
        <x:v>user_feature</x:v>
      </x:c>
      <x:c r="E70" s="6" t="str">
        <x:v>PLANNED</x:v>
      </x:c>
      <x:c r="F70" s="6" t="str">
        <x:v>NOT_RUN</x:v>
      </x:c>
      <x:c r="G70" s="6" t="str">
        <x:v>experience and content</x:v>
      </x:c>
      <x:c r="H70" s="6" t="str">
        <x:v>M7-INTEROP</x:v>
      </x:c>
      <x:c r="I70" s="6" t="str">
        <x:v>workflow_test</x:v>
      </x:c>
      <x:c r="J70" s="6" t="str">
        <x:v>Offer supported exports/transfer through a qualified adapter, not an Artspira API assumption.</x:v>
      </x:c>
      <x:c r="K70" s="6" t="str">
        <x:v>U1, B5</x:v>
      </x:c>
      <x:c r="L70" s="6" t="str">
        <x:v>https://sewingcraft.brother.eu/en/artspira</x:v>
      </x:c>
      <x:c r="M70" s="6" t="str"/>
    </x:row>
    <x:row r="71" ht="72" customHeight="1">
      <x:c r="A71" s="6" t="str">
        <x:v>C06</x:v>
      </x:c>
      <x:c r="B71" s="6" t="str">
        <x:v>Creative library</x:v>
      </x:c>
      <x:c r="C71" s="6" t="str">
        <x:v>More than 1000 built-in designs</x:v>
      </x:c>
      <x:c r="D71" s="6" t="str">
        <x:v>user_feature</x:v>
      </x:c>
      <x:c r="E71" s="6" t="str">
        <x:v>PLANNED</x:v>
      </x:c>
      <x:c r="F71" s="6" t="str">
        <x:v>NOT_RUN</x:v>
      </x:c>
      <x:c r="G71" s="6" t="str">
        <x:v>experience and content</x:v>
      </x:c>
      <x:c r="H71" s="6" t="str">
        <x:v>M6-CONTENT</x:v>
      </x:c>
      <x:c r="I71" s="6" t="str">
        <x:v>workflow_test</x:v>
      </x:c>
      <x:c r="J71" s="6" t="str">
        <x:v>Plan an independently licensed or original library exceeding 1000 counted designs.</x:v>
      </x:c>
      <x:c r="K71" s="6" t="str">
        <x:v>U1, B1</x:v>
      </x:c>
      <x:c r="L71" s="6" t="str">
        <x:v>https://sewingcraft.brother.eu/en/products/machines/pe-design-software/pe-design-11</x:v>
      </x:c>
      <x:c r="M71" s="6" t="str"/>
    </x:row>
    <x:row r="72" ht="72" customHeight="1">
      <x:c r="A72" s="6" t="str">
        <x:v>C07</x:v>
      </x:c>
      <x:c r="B72" s="6" t="str">
        <x:v>Creative library</x:v>
      </x:c>
      <x:c r="C72" s="6" t="str">
        <x:v>Template Function</x:v>
      </x:c>
      <x:c r="D72" s="6" t="str">
        <x:v>user_feature</x:v>
      </x:c>
      <x:c r="E72" s="6" t="str">
        <x:v>PLANNED</x:v>
      </x:c>
      <x:c r="F72" s="6" t="str">
        <x:v>NOT_RUN</x:v>
      </x:c>
      <x:c r="G72" s="6" t="str">
        <x:v>experience and content</x:v>
      </x:c>
      <x:c r="H72" s="6" t="str">
        <x:v>M6-CONTENT</x:v>
      </x:c>
      <x:c r="I72" s="6" t="str">
        <x:v>workflow_test</x:v>
      </x:c>
      <x:c r="J72" s="6" t="str">
        <x:v>Create reusable, parameterised project templates with required-input validation.</x:v>
      </x:c>
      <x:c r="K72" s="6" t="str">
        <x:v>U1, B1</x:v>
      </x:c>
      <x:c r="L72" s="6" t="str">
        <x:v>https://sewingcraft.brother.eu/en/products/machines/pe-design-software/pe-design-11</x:v>
      </x:c>
      <x:c r="M72" s="6" t="str"/>
    </x:row>
    <x:row r="73" ht="72" customHeight="1">
      <x:c r="A73" s="6" t="str">
        <x:v>C08</x:v>
      </x:c>
      <x:c r="B73" s="6" t="str">
        <x:v>Creative library</x:v>
      </x:c>
      <x:c r="C73" s="6" t="str">
        <x:v>Online Manual</x:v>
      </x:c>
      <x:c r="D73" s="6" t="str">
        <x:v>user_feature</x:v>
      </x:c>
      <x:c r="E73" s="6" t="str">
        <x:v>PLANNED</x:v>
      </x:c>
      <x:c r="F73" s="6" t="str">
        <x:v>NOT_RUN</x:v>
      </x:c>
      <x:c r="G73" s="6" t="str">
        <x:v>experience and content</x:v>
      </x:c>
      <x:c r="H73" s="6" t="str">
        <x:v>M6-CONTENT</x:v>
      </x:c>
      <x:c r="I73" s="6" t="str">
        <x:v>workflow_test</x:v>
      </x:c>
      <x:c r="J73" s="6" t="str">
        <x:v>Provide searchable, version-aware help, limitations and troubleshooting linked to tools.</x:v>
      </x:c>
      <x:c r="K73" s="6" t="str">
        <x:v>U1, B1</x:v>
      </x:c>
      <x:c r="L73" s="6" t="str">
        <x:v>https://sewingcraft.brother.eu/en/products/machines/pe-design-software/pe-design-11</x:v>
      </x:c>
      <x:c r="M73" s="6" t="str"/>
    </x:row>
    <x:row r="74" ht="72" customHeight="1">
      <x:c r="A74" s="6" t="str">
        <x:v>C09</x:v>
      </x:c>
      <x:c r="B74" s="6" t="str">
        <x:v>Creative library</x:v>
      </x:c>
      <x:c r="C74" s="6" t="str">
        <x:v>Design Center and Design Database</x:v>
      </x:c>
      <x:c r="D74" s="6" t="str">
        <x:v>user_feature</x:v>
      </x:c>
      <x:c r="E74" s="6" t="str">
        <x:v>PLANNED</x:v>
      </x:c>
      <x:c r="F74" s="6" t="str">
        <x:v>NOT_RUN</x:v>
      </x:c>
      <x:c r="G74" s="6" t="str">
        <x:v>experience and content</x:v>
      </x:c>
      <x:c r="H74" s="6" t="str">
        <x:v>M6-CONTENT</x:v>
      </x:c>
      <x:c r="I74" s="6" t="str">
        <x:v>workflow_test</x:v>
      </x:c>
      <x:c r="J74" s="6" t="str">
        <x:v>Add asset/design catalogue, thumbnails, tags, search, revisions and duplicate detection.</x:v>
      </x:c>
      <x:c r="K74" s="6" t="str">
        <x:v>U1, B1</x:v>
      </x:c>
      <x:c r="L74" s="6" t="str">
        <x:v>https://sewingcraft.brother.eu/en/products/machines/pe-design-software/pe-design-11</x:v>
      </x:c>
      <x:c r="M74" s="6" t="str"/>
    </x:row>
    <x:row r="75" ht="72" customHeight="1">
      <x:c r="A75" s="6" t="str">
        <x:v>C10</x:v>
      </x:c>
      <x:c r="B75" s="6" t="str">
        <x:v>Creative library</x:v>
      </x:c>
      <x:c r="C75" s="6" t="str">
        <x:v>Advanced User Interface; intermediate/expert</x:v>
      </x:c>
      <x:c r="D75" s="6" t="str">
        <x:v>user_feature</x:v>
      </x:c>
      <x:c r="E75" s="6" t="str">
        <x:v>PLANNED</x:v>
      </x:c>
      <x:c r="F75" s="6" t="str">
        <x:v>NOT_RUN</x:v>
      </x:c>
      <x:c r="G75" s="6" t="str">
        <x:v>experience and content</x:v>
      </x:c>
      <x:c r="H75" s="6" t="str">
        <x:v>M6-CONTENT</x:v>
      </x:c>
      <x:c r="I75" s="6" t="str">
        <x:v>workflow_test</x:v>
      </x:c>
      <x:c r="J75" s="6" t="str">
        <x:v>Use a single Apple-inspired workspace with progressive disclosure and keyboard routes.</x:v>
      </x:c>
      <x:c r="K75" s="6" t="str">
        <x:v>U1, B1</x:v>
      </x:c>
      <x:c r="L75" s="6" t="str">
        <x:v>https://sewingcraft.brother.eu/en/products/machines/pe-design-software/pe-design-11</x:v>
      </x:c>
      <x:c r="M75" s="6" t="str"/>
    </x:row>
    <x:row r="76" ht="72" customHeight="1">
      <x:c r="A76" s="6" t="str">
        <x:v>C11</x:v>
      </x:c>
      <x:c r="B76" s="6" t="str">
        <x:v>Creative library</x:v>
      </x:c>
      <x:c r="C76" s="6" t="str">
        <x:v>Applications: 7</x:v>
      </x:c>
      <x:c r="D76" s="6" t="str">
        <x:v>user_feature</x:v>
      </x:c>
      <x:c r="E76" s="6" t="str">
        <x:v>PLANNED</x:v>
      </x:c>
      <x:c r="F76" s="6" t="str">
        <x:v>NOT_RUN</x:v>
      </x:c>
      <x:c r="G76" s="6" t="str">
        <x:v>experience and content</x:v>
      </x:c>
      <x:c r="H76" s="6" t="str">
        <x:v>M6-CONTENT</x:v>
      </x:c>
      <x:c r="I76" s="6" t="str">
        <x:v>workflow_test</x:v>
      </x:c>
      <x:c r="J76" s="6" t="str">
        <x:v>Map seven workflow responsibilities into modules, not necessarily seven executables.</x:v>
      </x:c>
      <x:c r="K76" s="6" t="str">
        <x:v>U1, B1</x:v>
      </x:c>
      <x:c r="L76" s="6" t="str">
        <x:v>https://sewingcraft.brother.eu/en/products/machines/pe-design-software/pe-design-11</x:v>
      </x:c>
      <x:c r="M76" s="6" t="str"/>
    </x:row>
    <x:row r="77" ht="72" customHeight="1">
      <x:c r="A77" s="6" t="str">
        <x:v>A01</x:v>
      </x:c>
      <x:c r="B77" s="6" t="str">
        <x:v>Artwork and digitising</x:v>
      </x:c>
      <x:c r="C77" s="6" t="str">
        <x:v>Design, convert, edit and scan</x:v>
      </x:c>
      <x:c r="D77" s="6" t="str">
        <x:v>user_feature</x:v>
      </x:c>
      <x:c r="E77" s="6" t="str">
        <x:v>PLANNED</x:v>
      </x:c>
      <x:c r="F77" s="6" t="str">
        <x:v>NOT_RUN</x:v>
      </x:c>
      <x:c r="G77" s="6" t="str">
        <x:v>vision and digitising</x:v>
      </x:c>
      <x:c r="H77" s="6" t="str">
        <x:v>M4-PHOTO</x:v>
      </x:c>
      <x:c r="I77" s="6" t="str">
        <x:v>generate, view</x:v>
      </x:c>
      <x:c r="J77" s="6" t="str">
        <x:v>Offer scan/camera/upload/paste acquisition with original preservation and explicit scale.</x:v>
      </x:c>
      <x:c r="K77" s="6" t="str">
        <x:v>U1, B1, P1</x:v>
      </x:c>
      <x:c r="L77" s="6" t="str">
        <x:v>https://sewingcraft.brother.eu/en/products/machines/pe-design-software/pe-design-11</x:v>
      </x:c>
      <x:c r="M77" s="6" t="str"/>
    </x:row>
    <x:row r="78" ht="72" customHeight="1">
      <x:c r="A78" s="6" t="str">
        <x:v>A02</x:v>
      </x:c>
      <x:c r="B78" s="6" t="str">
        <x:v>Artwork and digitising</x:v>
      </x:c>
      <x:c r="C78" s="6" t="str">
        <x:v>Convert own images into photo stitching</x:v>
      </x:c>
      <x:c r="D78" s="6" t="str">
        <x:v>user_feature</x:v>
      </x:c>
      <x:c r="E78" s="6" t="str">
        <x:v>PLANNED</x:v>
      </x:c>
      <x:c r="F78" s="6" t="str">
        <x:v>NOT_RUN</x:v>
      </x:c>
      <x:c r="G78" s="6" t="str">
        <x:v>vision and digitising</x:v>
      </x:c>
      <x:c r="H78" s="6" t="str">
        <x:v>M4-PHOTO</x:v>
      </x:c>
      <x:c r="I78" s="6" t="str">
        <x:v>generate, view</x:v>
      </x:c>
      <x:c r="J78" s="6" t="str">
        <x:v>Provide a reviewable photo-to-embroidery pipeline with regions, palette and resource budgets.</x:v>
      </x:c>
      <x:c r="K78" s="6" t="str">
        <x:v>U1, B1, P1</x:v>
      </x:c>
      <x:c r="L78" s="6" t="str">
        <x:v>https://sewingcraft.brother.eu/en/products/machines/pe-design-software/pe-design-11</x:v>
      </x:c>
      <x:c r="M78" s="6" t="str"/>
    </x:row>
    <x:row r="79" ht="72" customHeight="1">
      <x:c r="A79" s="6" t="str">
        <x:v>A03</x:v>
      </x:c>
      <x:c r="B79" s="6" t="str">
        <x:v>Artwork and digitising</x:v>
      </x:c>
      <x:c r="C79" s="6" t="str">
        <x:v>Auto Punch; improved image tracing</x:v>
      </x:c>
      <x:c r="D79" s="6" t="str">
        <x:v>user_feature</x:v>
      </x:c>
      <x:c r="E79" s="6" t="str">
        <x:v>PLANNED</x:v>
      </x:c>
      <x:c r="F79" s="6" t="str">
        <x:v>NOT_RUN</x:v>
      </x:c>
      <x:c r="G79" s="6" t="str">
        <x:v>vision and digitising</x:v>
      </x:c>
      <x:c r="H79" s="6" t="str">
        <x:v>M4-PHOTO</x:v>
      </x:c>
      <x:c r="I79" s="6" t="str">
        <x:v>generate, view</x:v>
      </x:c>
      <x:c r="J79" s="6" t="str">
        <x:v>Implement automatic region extraction/vectorisation with correction tools and abstention.</x:v>
      </x:c>
      <x:c r="K79" s="6" t="str">
        <x:v>U1, B1, P1</x:v>
      </x:c>
      <x:c r="L79" s="6" t="str">
        <x:v>https://sewingcraft.brother.eu/en/products/machines/pe-design-software/pe-design-11</x:v>
      </x:c>
      <x:c r="M79" s="6" t="str"/>
    </x:row>
    <x:row r="80" ht="72" customHeight="1">
      <x:c r="A80" s="6" t="str">
        <x:v>A04</x:v>
      </x:c>
      <x:c r="B80" s="6" t="str">
        <x:v>Artwork and digitising</x:v>
      </x:c>
      <x:c r="C80" s="6" t="str">
        <x:v>Image Color Tune</x:v>
      </x:c>
      <x:c r="D80" s="6" t="str">
        <x:v>user_feature</x:v>
      </x:c>
      <x:c r="E80" s="6" t="str">
        <x:v>PLANNED</x:v>
      </x:c>
      <x:c r="F80" s="6" t="str">
        <x:v>NOT_RUN</x:v>
      </x:c>
      <x:c r="G80" s="6" t="str">
        <x:v>vision and digitising</x:v>
      </x:c>
      <x:c r="H80" s="6" t="str">
        <x:v>M4-PHOTO</x:v>
      </x:c>
      <x:c r="I80" s="6" t="str">
        <x:v>generate, view</x:v>
      </x:c>
      <x:c r="J80" s="6" t="str">
        <x:v>Provide non-destructive levels/colour adjustment linked to a derivative revision.</x:v>
      </x:c>
      <x:c r="K80" s="6" t="str">
        <x:v>U1, B1, P1</x:v>
      </x:c>
      <x:c r="L80" s="6" t="str">
        <x:v>https://sewingcraft.brother.eu/en/products/machines/pe-design-software/pe-design-11</x:v>
      </x:c>
      <x:c r="M80" s="6" t="str"/>
    </x:row>
    <x:row r="81" ht="72" customHeight="1">
      <x:c r="A81" s="6" t="str">
        <x:v>A05</x:v>
      </x:c>
      <x:c r="B81" s="6" t="str">
        <x:v>Artwork and digitising</x:v>
      </x:c>
      <x:c r="C81" s="6" t="str">
        <x:v>Mask Select</x:v>
      </x:c>
      <x:c r="D81" s="6" t="str">
        <x:v>user_feature</x:v>
      </x:c>
      <x:c r="E81" s="6" t="str">
        <x:v>PLANNED</x:v>
      </x:c>
      <x:c r="F81" s="6" t="str">
        <x:v>NOT_RUN</x:v>
      </x:c>
      <x:c r="G81" s="6" t="str">
        <x:v>vision and digitising</x:v>
      </x:c>
      <x:c r="H81" s="6" t="str">
        <x:v>M4-PHOTO</x:v>
      </x:c>
      <x:c r="I81" s="6" t="str">
        <x:v>generate, view</x:v>
      </x:c>
      <x:c r="J81" s="6" t="str">
        <x:v>Allow editable masks and exclusion regions through segmentation and generation.</x:v>
      </x:c>
      <x:c r="K81" s="6" t="str">
        <x:v>U1, B1, P1</x:v>
      </x:c>
      <x:c r="L81" s="6" t="str">
        <x:v>https://sewingcraft.brother.eu/en/products/machines/pe-design-software/pe-design-11</x:v>
      </x:c>
      <x:c r="M81" s="6" t="str"/>
    </x:row>
    <x:row r="82" ht="72" customHeight="1">
      <x:c r="A82" s="6" t="str">
        <x:v>A06</x:v>
      </x:c>
      <x:c r="B82" s="6" t="str">
        <x:v>Artwork and digitising</x:v>
      </x:c>
      <x:c r="C82" s="6" t="str">
        <x:v>Photo Stitch1 (Complex Type)</x:v>
      </x:c>
      <x:c r="D82" s="6" t="str">
        <x:v>user_feature</x:v>
      </x:c>
      <x:c r="E82" s="6" t="str">
        <x:v>PLANNED</x:v>
      </x:c>
      <x:c r="F82" s="6" t="str">
        <x:v>NOT_RUN</x:v>
      </x:c>
      <x:c r="G82" s="6" t="str">
        <x:v>vision and digitising</x:v>
      </x:c>
      <x:c r="H82" s="6" t="str">
        <x:v>M4-PHOTO</x:v>
      </x:c>
      <x:c r="I82" s="6" t="str">
        <x:v>generate, view</x:v>
      </x:c>
      <x:c r="J82" s="6" t="str">
        <x:v>Implement a high-detail photo mode with explicit colour/stitch budgets.</x:v>
      </x:c>
      <x:c r="K82" s="6" t="str">
        <x:v>U1, B1, P1</x:v>
      </x:c>
      <x:c r="L82" s="6" t="str">
        <x:v>https://sewingcraft.brother.eu/en/products/machines/pe-design-software/pe-design-11</x:v>
      </x:c>
      <x:c r="M82" s="6" t="str"/>
    </x:row>
    <x:row r="83" ht="72" customHeight="1">
      <x:c r="A83" s="6" t="str">
        <x:v>A07</x:v>
      </x:c>
      <x:c r="B83" s="6" t="str">
        <x:v>Artwork and digitising</x:v>
      </x:c>
      <x:c r="C83" s="6" t="str">
        <x:v>Photo Stitch2 (Simple Type)</x:v>
      </x:c>
      <x:c r="D83" s="6" t="str">
        <x:v>user_feature</x:v>
      </x:c>
      <x:c r="E83" s="6" t="str">
        <x:v>PLANNED</x:v>
      </x:c>
      <x:c r="F83" s="6" t="str">
        <x:v>NOT_RUN</x:v>
      </x:c>
      <x:c r="G83" s="6" t="str">
        <x:v>vision and digitising</x:v>
      </x:c>
      <x:c r="H83" s="6" t="str">
        <x:v>M4-PHOTO</x:v>
      </x:c>
      <x:c r="I83" s="6" t="str">
        <x:v>generate, view</x:v>
      </x:c>
      <x:c r="J83" s="6" t="str">
        <x:v>Implement a simplified photo mode with reduced palette and complexity controls.</x:v>
      </x:c>
      <x:c r="K83" s="6" t="str">
        <x:v>U1, B1, P1</x:v>
      </x:c>
      <x:c r="L83" s="6" t="str">
        <x:v>https://sewingcraft.brother.eu/en/products/machines/pe-design-software/pe-design-11</x:v>
      </x:c>
      <x:c r="M83" s="6" t="str"/>
    </x:row>
    <x:row r="84" ht="72" customHeight="1">
      <x:c r="A84" s="6" t="str">
        <x:v>A08</x:v>
      </x:c>
      <x:c r="B84" s="6" t="str">
        <x:v>Artwork and digitising</x:v>
      </x:c>
      <x:c r="C84" s="6" t="str">
        <x:v>Vector Image Conversion</x:v>
      </x:c>
      <x:c r="D84" s="6" t="str">
        <x:v>user_feature</x:v>
      </x:c>
      <x:c r="E84" s="6" t="str">
        <x:v>PLANNED</x:v>
      </x:c>
      <x:c r="F84" s="6" t="str">
        <x:v>NOT_RUN</x:v>
      </x:c>
      <x:c r="G84" s="6" t="str">
        <x:v>vision and digitising</x:v>
      </x:c>
      <x:c r="H84" s="6" t="str">
        <x:v>M4-PHOTO</x:v>
      </x:c>
      <x:c r="I84" s="6" t="str">
        <x:v>generate, view</x:v>
      </x:c>
      <x:c r="J84" s="6" t="str">
        <x:v>Convert supported vector geometry into native embroidery objects, preserving layers and scale.</x:v>
      </x:c>
      <x:c r="K84" s="6" t="str">
        <x:v>U1, B1, P1</x:v>
      </x:c>
      <x:c r="L84" s="6" t="str">
        <x:v>https://sewingcraft.brother.eu/en/products/machines/pe-design-software/pe-design-11</x:v>
      </x:c>
      <x:c r="M84" s="6" t="str"/>
    </x:row>
    <x:row r="85" ht="72" customHeight="1">
      <x:c r="A85" s="6" t="str">
        <x:v>A09</x:v>
      </x:c>
      <x:c r="B85" s="6" t="str">
        <x:v>Artwork and digitising</x:v>
      </x:c>
      <x:c r="C85" s="6" t="str">
        <x:v>Cross Stitch image conversion</x:v>
      </x:c>
      <x:c r="D85" s="6" t="str">
        <x:v>user_feature</x:v>
      </x:c>
      <x:c r="E85" s="6" t="str">
        <x:v>PLANNED</x:v>
      </x:c>
      <x:c r="F85" s="6" t="str">
        <x:v>NOT_RUN</x:v>
      </x:c>
      <x:c r="G85" s="6" t="str">
        <x:v>vision and digitising</x:v>
      </x:c>
      <x:c r="H85" s="6" t="str">
        <x:v>M4-PHOTO</x:v>
      </x:c>
      <x:c r="I85" s="6" t="str">
        <x:v>generate, view</x:v>
      </x:c>
      <x:c r="J85" s="6" t="str">
        <x:v>Map sampled artwork to editable cross-stitch cells and thread assignments.</x:v>
      </x:c>
      <x:c r="K85" s="6" t="str">
        <x:v>U1, B1, P1</x:v>
      </x:c>
      <x:c r="L85" s="6" t="str">
        <x:v>https://sewingcraft.brother.eu/en/products/machines/pe-design-software/pe-design-11</x:v>
      </x:c>
      <x:c r="M85" s="6" t="str"/>
    </x:row>
    <x:row r="86" ht="72" customHeight="1">
      <x:c r="A86" s="6" t="str">
        <x:v>A10</x:v>
      </x:c>
      <x:c r="B86" s="6" t="str">
        <x:v>Artwork and digitising</x:v>
      </x:c>
      <x:c r="C86" s="6" t="str">
        <x:v>Prompt any design; scan/paste/upload/web (continuity)</x:v>
      </x:c>
      <x:c r="D86" s="6" t="str">
        <x:v>user_feature</x:v>
      </x:c>
      <x:c r="E86" s="6" t="str">
        <x:v>PLANNED</x:v>
      </x:c>
      <x:c r="F86" s="6" t="str">
        <x:v>NOT_RUN</x:v>
      </x:c>
      <x:c r="G86" s="6" t="str">
        <x:v>vision and digitising</x:v>
      </x:c>
      <x:c r="H86" s="6" t="str">
        <x:v>M4-PHOTO</x:v>
      </x:c>
      <x:c r="I86" s="6" t="str">
        <x:v>generate, view</x:v>
      </x:c>
      <x:c r="J86" s="6" t="str">
        <x:v>Add bounded AI intake and licensed asset sourcing without overwriting originals.</x:v>
      </x:c>
      <x:c r="K86" s="6" t="str">
        <x:v>U1, B1, P1</x:v>
      </x:c>
      <x:c r="L86" s="6" t="str">
        <x:v>https://sewingcraft.brother.eu/en/products/machines/pe-design-software/pe-design-11</x:v>
      </x:c>
      <x:c r="M86" s="6" t="str"/>
    </x:row>
    <x:row r="87" ht="72" customHeight="1">
      <x:c r="A87" s="6" t="str">
        <x:v>D01</x:v>
      </x:c>
      <x:c r="B87" s="6" t="str">
        <x:v>Drawing</x:v>
      </x:c>
      <x:c r="C87" s="6" t="str">
        <x:v>Heart, Star, etc: 30</x:v>
      </x:c>
      <x:c r="D87" s="6" t="str">
        <x:v>user_feature</x:v>
      </x:c>
      <x:c r="E87" s="6" t="str">
        <x:v>PLANNED</x:v>
      </x:c>
      <x:c r="F87" s="6" t="str">
        <x:v>NOT_RUN</x:v>
      </x:c>
      <x:c r="G87" s="6" t="str">
        <x:v>geometry and studio</x:v>
      </x:c>
      <x:c r="H87" s="6" t="str">
        <x:v>M3-DIGITISE</x:v>
      </x:c>
      <x:c r="I87" s="6" t="str">
        <x:v>edit, generate</x:v>
      </x:c>
      <x:c r="J87" s="6" t="str">
        <x:v>Provide at least 30 original parametric shape templates, counting shape families rather than sizes.</x:v>
      </x:c>
      <x:c r="K87" s="6" t="str">
        <x:v>U1, B1</x:v>
      </x:c>
      <x:c r="L87" s="6" t="str">
        <x:v>https://sewingcraft.brother.eu/en/products/machines/pe-design-software/pe-design-11</x:v>
      </x:c>
      <x:c r="M87" s="6" t="str"/>
    </x:row>
    <x:row r="88" ht="72" customHeight="1">
      <x:c r="A88" s="6" t="str">
        <x:v>D02</x:v>
      </x:c>
      <x:c r="B88" s="6" t="str">
        <x:v>Drawing</x:v>
      </x:c>
      <x:c r="C88" s="6" t="str">
        <x:v>Line/Curve/Freehand</x:v>
      </x:c>
      <x:c r="D88" s="6" t="str">
        <x:v>user_feature</x:v>
      </x:c>
      <x:c r="E88" s="6" t="str">
        <x:v>PLANNED</x:v>
      </x:c>
      <x:c r="F88" s="6" t="str">
        <x:v>NOT_RUN</x:v>
      </x:c>
      <x:c r="G88" s="6" t="str">
        <x:v>geometry and studio</x:v>
      </x:c>
      <x:c r="H88" s="6" t="str">
        <x:v>M3-DIGITISE</x:v>
      </x:c>
      <x:c r="I88" s="6" t="str">
        <x:v>edit, generate</x:v>
      </x:c>
      <x:c r="J88" s="6" t="str">
        <x:v>Create polylines, curves and freehand geometry with an explicit smoothing tolerance.</x:v>
      </x:c>
      <x:c r="K88" s="6" t="str">
        <x:v>U1, B1</x:v>
      </x:c>
      <x:c r="L88" s="6" t="str">
        <x:v>https://sewingcraft.brother.eu/en/products/machines/pe-design-software/pe-design-11</x:v>
      </x:c>
      <x:c r="M88" s="6" t="str"/>
    </x:row>
    <x:row r="89" ht="72" customHeight="1">
      <x:c r="A89" s="6" t="str">
        <x:v>D03</x:v>
      </x:c>
      <x:c r="B89" s="6" t="str">
        <x:v>Drawing</x:v>
      </x:c>
      <x:c r="C89" s="6" t="str">
        <x:v>Manual Punch</x:v>
      </x:c>
      <x:c r="D89" s="6" t="str">
        <x:v>user_feature</x:v>
      </x:c>
      <x:c r="E89" s="6" t="str">
        <x:v>PLANNED</x:v>
      </x:c>
      <x:c r="F89" s="6" t="str">
        <x:v>NOT_RUN</x:v>
      </x:c>
      <x:c r="G89" s="6" t="str">
        <x:v>geometry and studio</x:v>
      </x:c>
      <x:c r="H89" s="6" t="str">
        <x:v>M3-DIGITISE</x:v>
      </x:c>
      <x:c r="I89" s="6" t="str">
        <x:v>edit, generate</x:v>
      </x:c>
      <x:c r="J89" s="6" t="str">
        <x:v>Allow deliberate stitch-point edits with provenance and full revalidation; this is not AI-emitted raw commands.</x:v>
      </x:c>
      <x:c r="K89" s="6" t="str">
        <x:v>U1, B1</x:v>
      </x:c>
      <x:c r="L89" s="6" t="str">
        <x:v>https://sewingcraft.brother.eu/en/products/machines/pe-design-software/pe-design-11</x:v>
      </x:c>
      <x:c r="M89" s="6" t="str"/>
    </x:row>
    <x:row r="90" ht="72" customHeight="1">
      <x:c r="A90" s="6" t="str">
        <x:v>D04</x:v>
      </x:c>
      <x:c r="B90" s="6" t="str">
        <x:v>Drawing</x:v>
      </x:c>
      <x:c r="C90" s="6" t="str">
        <x:v>Rectangle, Circle</x:v>
      </x:c>
      <x:c r="D90" s="6" t="str">
        <x:v>user_feature</x:v>
      </x:c>
      <x:c r="E90" s="6" t="str">
        <x:v>PLANNED</x:v>
      </x:c>
      <x:c r="F90" s="6" t="str">
        <x:v>NOT_RUN</x:v>
      </x:c>
      <x:c r="G90" s="6" t="str">
        <x:v>geometry and studio</x:v>
      </x:c>
      <x:c r="H90" s="6" t="str">
        <x:v>M3-DIGITISE</x:v>
      </x:c>
      <x:c r="I90" s="6" t="str">
        <x:v>edit, generate</x:v>
      </x:c>
      <x:c r="J90" s="6" t="str">
        <x:v>Create dimensioned rectangles and circles; document curve flattening tolerances.</x:v>
      </x:c>
      <x:c r="K90" s="6" t="str">
        <x:v>U1, B1</x:v>
      </x:c>
      <x:c r="L90" s="6" t="str">
        <x:v>https://sewingcraft.brother.eu/en/products/machines/pe-design-software/pe-design-11</x:v>
      </x:c>
      <x:c r="M90" s="6" t="str"/>
    </x:row>
    <x:row r="91" ht="72" customHeight="1">
      <x:c r="A91" s="6" t="str">
        <x:v>D05</x:v>
      </x:c>
      <x:c r="B91" s="6" t="str">
        <x:v>Drawing</x:v>
      </x:c>
      <x:c r="C91" s="6" t="str">
        <x:v>Object alignment</x:v>
      </x:c>
      <x:c r="D91" s="6" t="str">
        <x:v>user_feature</x:v>
      </x:c>
      <x:c r="E91" s="6" t="str">
        <x:v>PLANNED</x:v>
      </x:c>
      <x:c r="F91" s="6" t="str">
        <x:v>NOT_RUN</x:v>
      </x:c>
      <x:c r="G91" s="6" t="str">
        <x:v>geometry and studio</x:v>
      </x:c>
      <x:c r="H91" s="6" t="str">
        <x:v>M3-DIGITISE</x:v>
      </x:c>
      <x:c r="I91" s="6" t="str">
        <x:v>edit, generate</x:v>
      </x:c>
      <x:c r="J91" s="6" t="str">
        <x:v>Support align/distribute/snap to selection, artboard, grid and references with visible units.</x:v>
      </x:c>
      <x:c r="K91" s="6" t="str">
        <x:v>U1, B1</x:v>
      </x:c>
      <x:c r="L91" s="6" t="str">
        <x:v>https://sewingcraft.brother.eu/en/products/machines/pe-design-software/pe-design-11</x:v>
      </x:c>
      <x:c r="M91" s="6" t="str"/>
    </x:row>
    <x:row r="92" ht="72" customHeight="1">
      <x:c r="A92" s="6" t="str">
        <x:v>ED01</x:v>
      </x:c>
      <x:c r="B92" s="6" t="str">
        <x:v>Editing and construction</x:v>
      </x:c>
      <x:c r="C92" s="6" t="str">
        <x:v>Applique Wizard</x:v>
      </x:c>
      <x:c r="D92" s="6" t="str">
        <x:v>user_feature</x:v>
      </x:c>
      <x:c r="E92" s="6" t="str">
        <x:v>PLANNED</x:v>
      </x:c>
      <x:c r="F92" s="6" t="str">
        <x:v>NOT_RUN</x:v>
      </x:c>
      <x:c r="G92" s="6" t="str">
        <x:v>geometry and stitch engineering</x:v>
      </x:c>
      <x:c r="H92" s="6" t="str">
        <x:v>M5-COMPOSITE</x:v>
      </x:c>
      <x:c r="I92" s="6" t="str">
        <x:v>edit, generate, validate</x:v>
      </x:c>
      <x:c r="J92" s="6" t="str">
        <x:v>Generate placement, tack-down, placement stop and cover stages with a separate optional cutting artifact.</x:v>
      </x:c>
      <x:c r="K92" s="6" t="str">
        <x:v>U1, B1, B6</x:v>
      </x:c>
      <x:c r="L92" s="6" t="str">
        <x:v>https://sewingcraft.brother.eu/en/products/machines/pe-design-software/pe-design-11</x:v>
      </x:c>
      <x:c r="M92" s="6" t="str"/>
    </x:row>
    <x:row r="93" ht="72" customHeight="1">
      <x:c r="A93" s="6" t="str">
        <x:v>ED02</x:v>
      </x:c>
      <x:c r="B93" s="6" t="str">
        <x:v>Editing and construction</x:v>
      </x:c>
      <x:c r="C93" s="6" t="str">
        <x:v>Background Fill Wizard</x:v>
      </x:c>
      <x:c r="D93" s="6" t="str">
        <x:v>user_feature</x:v>
      </x:c>
      <x:c r="E93" s="6" t="str">
        <x:v>PLANNED</x:v>
      </x:c>
      <x:c r="F93" s="6" t="str">
        <x:v>NOT_RUN</x:v>
      </x:c>
      <x:c r="G93" s="6" t="str">
        <x:v>geometry and stitch engineering</x:v>
      </x:c>
      <x:c r="H93" s="6" t="str">
        <x:v>M3-GEOMETRY</x:v>
      </x:c>
      <x:c r="I93" s="6" t="str">
        <x:v>edit, generate, validate</x:v>
      </x:c>
      <x:c r="J93" s="6" t="str">
        <x:v>Fill selected background areas while preserving motif clearances and holes.</x:v>
      </x:c>
      <x:c r="K93" s="6" t="str">
        <x:v>U1, B1, B6</x:v>
      </x:c>
      <x:c r="L93" s="6" t="str">
        <x:v>https://sewingcraft.brother.eu/en/products/machines/pe-design-software/pe-design-11</x:v>
      </x:c>
      <x:c r="M93" s="6" t="str"/>
    </x:row>
    <x:row r="94" ht="72" customHeight="1">
      <x:c r="A94" s="6" t="str">
        <x:v>ED03</x:v>
      </x:c>
      <x:c r="B94" s="6" t="str">
        <x:v>Editing and construction</x:v>
      </x:c>
      <x:c r="C94" s="6" t="str">
        <x:v>Circle Copy</x:v>
      </x:c>
      <x:c r="D94" s="6" t="str">
        <x:v>user_feature</x:v>
      </x:c>
      <x:c r="E94" s="6" t="str">
        <x:v>PLANNED</x:v>
      </x:c>
      <x:c r="F94" s="6" t="str">
        <x:v>NOT_RUN</x:v>
      </x:c>
      <x:c r="G94" s="6" t="str">
        <x:v>geometry and stitch engineering</x:v>
      </x:c>
      <x:c r="H94" s="6" t="str">
        <x:v>M3-GEOMETRY</x:v>
      </x:c>
      <x:c r="I94" s="6" t="str">
        <x:v>edit, generate, validate</x:v>
      </x:c>
      <x:c r="J94" s="6" t="str">
        <x:v>Parameterise circular copies, angle, count and centre.</x:v>
      </x:c>
      <x:c r="K94" s="6" t="str">
        <x:v>U1, B1, B6</x:v>
      </x:c>
      <x:c r="L94" s="6" t="str">
        <x:v>https://sewingcraft.brother.eu/en/products/machines/pe-design-software/pe-design-11</x:v>
      </x:c>
      <x:c r="M94" s="6" t="str"/>
    </x:row>
    <x:row r="95" ht="72" customHeight="1">
      <x:c r="A95" s="6" t="str">
        <x:v>ED04</x:v>
      </x:c>
      <x:c r="B95" s="6" t="str">
        <x:v>Editing and construction</x:v>
      </x:c>
      <x:c r="C95" s="6" t="str">
        <x:v>Convert Region to Line</x:v>
      </x:c>
      <x:c r="D95" s="6" t="str">
        <x:v>user_feature</x:v>
      </x:c>
      <x:c r="E95" s="6" t="str">
        <x:v>PLANNED</x:v>
      </x:c>
      <x:c r="F95" s="6" t="str">
        <x:v>NOT_RUN</x:v>
      </x:c>
      <x:c r="G95" s="6" t="str">
        <x:v>geometry and stitch engineering</x:v>
      </x:c>
      <x:c r="H95" s="6" t="str">
        <x:v>M3-GEOMETRY</x:v>
      </x:c>
      <x:c r="I95" s="6" t="str">
        <x:v>edit, generate, validate</x:v>
      </x:c>
      <x:c r="J95" s="6" t="str">
        <x:v>Derive an explicit boundary path or documented centreline proposal from a region.</x:v>
      </x:c>
      <x:c r="K95" s="6" t="str">
        <x:v>U1, B1, B6</x:v>
      </x:c>
      <x:c r="L95" s="6" t="str">
        <x:v>https://sewingcraft.brother.eu/en/products/machines/pe-design-software/pe-design-11</x:v>
      </x:c>
      <x:c r="M95" s="6" t="str"/>
    </x:row>
    <x:row r="96" ht="72" customHeight="1">
      <x:c r="A96" s="6" t="str">
        <x:v>ED05</x:v>
      </x:c>
      <x:c r="B96" s="6" t="str">
        <x:v>Editing and construction</x:v>
      </x:c>
      <x:c r="C96" s="6" t="str">
        <x:v>Convert Stitch to Outline</x:v>
      </x:c>
      <x:c r="D96" s="6" t="str">
        <x:v>user_feature</x:v>
      </x:c>
      <x:c r="E96" s="6" t="str">
        <x:v>PLANNED</x:v>
      </x:c>
      <x:c r="F96" s="6" t="str">
        <x:v>NOT_RUN</x:v>
      </x:c>
      <x:c r="G96" s="6" t="str">
        <x:v>geometry and stitch engineering</x:v>
      </x:c>
      <x:c r="H96" s="6" t="str">
        <x:v>M3-GEOMETRY</x:v>
      </x:c>
      <x:c r="I96" s="6" t="str">
        <x:v>edit, generate, validate</x:v>
      </x:c>
      <x:c r="J96" s="6" t="str">
        <x:v>Offer approximate stitch-to-region reconstruction with confidence and manual correction.</x:v>
      </x:c>
      <x:c r="K96" s="6" t="str">
        <x:v>U1, B1, B6</x:v>
      </x:c>
      <x:c r="L96" s="6" t="str">
        <x:v>https://sewingcraft.brother.eu/en/products/machines/pe-design-software/pe-design-11</x:v>
      </x:c>
      <x:c r="M96" s="6" t="str"/>
    </x:row>
    <x:row r="97" ht="72" customHeight="1">
      <x:c r="A97" s="6" t="str">
        <x:v>ED06</x:v>
      </x:c>
      <x:c r="B97" s="6" t="str">
        <x:v>Editing and construction</x:v>
      </x:c>
      <x:c r="C97" s="6" t="str">
        <x:v>Convert Text to Outline</x:v>
      </x:c>
      <x:c r="D97" s="6" t="str">
        <x:v>user_feature</x:v>
      </x:c>
      <x:c r="E97" s="6" t="str">
        <x:v>PLANNED</x:v>
      </x:c>
      <x:c r="F97" s="6" t="str">
        <x:v>NOT_RUN</x:v>
      </x:c>
      <x:c r="G97" s="6" t="str">
        <x:v>geometry and stitch engineering</x:v>
      </x:c>
      <x:c r="H97" s="6" t="str">
        <x:v>M3-GEOMETRY</x:v>
      </x:c>
      <x:c r="I97" s="6" t="str">
        <x:v>edit, generate, validate</x:v>
      </x:c>
      <x:c r="J97" s="6" t="str">
        <x:v>Create a derivative path representation while retaining an editable text source.</x:v>
      </x:c>
      <x:c r="K97" s="6" t="str">
        <x:v>U1, B1, B6</x:v>
      </x:c>
      <x:c r="L97" s="6" t="str">
        <x:v>https://sewingcraft.brother.eu/en/products/machines/pe-design-software/pe-design-11</x:v>
      </x:c>
      <x:c r="M97" s="6" t="str"/>
    </x:row>
    <x:row r="98" ht="72" customHeight="1">
      <x:c r="A98" s="6" t="str">
        <x:v>ED07</x:v>
      </x:c>
      <x:c r="B98" s="6" t="str">
        <x:v>Editing and construction</x:v>
      </x:c>
      <x:c r="C98" s="6" t="str">
        <x:v>Curved Direction Line</x:v>
      </x:c>
      <x:c r="D98" s="6" t="str">
        <x:v>user_feature</x:v>
      </x:c>
      <x:c r="E98" s="6" t="str">
        <x:v>PLANNED</x:v>
      </x:c>
      <x:c r="F98" s="6" t="str">
        <x:v>NOT_RUN</x:v>
      </x:c>
      <x:c r="G98" s="6" t="str">
        <x:v>geometry and stitch engineering</x:v>
      </x:c>
      <x:c r="H98" s="6" t="str">
        <x:v>M3-GEOMETRY</x:v>
      </x:c>
      <x:c r="I98" s="6" t="str">
        <x:v>edit, generate, validate</x:v>
      </x:c>
      <x:c r="J98" s="6" t="str">
        <x:v>Represent direction guides as a constrained vector field for fills/columns.</x:v>
      </x:c>
      <x:c r="K98" s="6" t="str">
        <x:v>U1, B1, B6</x:v>
      </x:c>
      <x:c r="L98" s="6" t="str">
        <x:v>https://sewingcraft.brother.eu/en/products/machines/pe-design-software/pe-design-11</x:v>
      </x:c>
      <x:c r="M98" s="6" t="str"/>
    </x:row>
    <x:row r="99" ht="72" customHeight="1">
      <x:c r="A99" s="6" t="str">
        <x:v>ED08</x:v>
      </x:c>
      <x:c r="B99" s="6" t="str">
        <x:v>Editing and construction</x:v>
      </x:c>
      <x:c r="C99" s="6" t="str">
        <x:v>Direction Line Editing</x:v>
      </x:c>
      <x:c r="D99" s="6" t="str">
        <x:v>user_feature</x:v>
      </x:c>
      <x:c r="E99" s="6" t="str">
        <x:v>PLANNED</x:v>
      </x:c>
      <x:c r="F99" s="6" t="str">
        <x:v>NOT_RUN</x:v>
      </x:c>
      <x:c r="G99" s="6" t="str">
        <x:v>geometry and stitch engineering</x:v>
      </x:c>
      <x:c r="H99" s="6" t="str">
        <x:v>M3-GEOMETRY</x:v>
      </x:c>
      <x:c r="I99" s="6" t="str">
        <x:v>edit, generate, validate</x:v>
      </x:c>
      <x:c r="J99" s="6" t="str">
        <x:v>Let users edit guide nodes and regenerate only affected objects.</x:v>
      </x:c>
      <x:c r="K99" s="6" t="str">
        <x:v>U1, B1, B6</x:v>
      </x:c>
      <x:c r="L99" s="6" t="str">
        <x:v>https://sewingcraft.brother.eu/en/products/machines/pe-design-software/pe-design-11</x:v>
      </x:c>
      <x:c r="M99" s="6" t="str"/>
    </x:row>
    <x:row r="100" ht="72" customHeight="1">
      <x:c r="A100" s="6" t="str">
        <x:v>ED09</x:v>
      </x:c>
      <x:c r="B100" s="6" t="str">
        <x:v>Editing and construction</x:v>
      </x:c>
      <x:c r="C100" s="6" t="str">
        <x:v>Embossing/Engraving</x:v>
      </x:c>
      <x:c r="D100" s="6" t="str">
        <x:v>user_feature</x:v>
      </x:c>
      <x:c r="E100" s="6" t="str">
        <x:v>PLANNED</x:v>
      </x:c>
      <x:c r="F100" s="6" t="str">
        <x:v>NOT_RUN</x:v>
      </x:c>
      <x:c r="G100" s="6" t="str">
        <x:v>geometry and stitch engineering</x:v>
      </x:c>
      <x:c r="H100" s="6" t="str">
        <x:v>M3-GEOMETRY</x:v>
      </x:c>
      <x:c r="I100" s="6" t="str">
        <x:v>edit, generate, validate</x:v>
      </x:c>
      <x:c r="J100" s="6" t="str">
        <x:v>Provide embroidery relief/texture effects, not implicit laser or milling commands.</x:v>
      </x:c>
      <x:c r="K100" s="6" t="str">
        <x:v>U1, B1, B6</x:v>
      </x:c>
      <x:c r="L100" s="6" t="str">
        <x:v>https://sewingcraft.brother.eu/en/products/machines/pe-design-software/pe-design-11</x:v>
      </x:c>
      <x:c r="M100" s="6" t="str"/>
    </x:row>
    <x:row r="101" ht="72" customHeight="1">
      <x:c r="A101" s="6" t="str">
        <x:v>ED10</x:v>
      </x:c>
      <x:c r="B101" s="6" t="str">
        <x:v>Editing and construction</x:v>
      </x:c>
      <x:c r="C101" s="6" t="str">
        <x:v>Embroidered Patch wizard</x:v>
      </x:c>
      <x:c r="D101" s="6" t="str">
        <x:v>user_feature</x:v>
      </x:c>
      <x:c r="E101" s="6" t="str">
        <x:v>PLANNED</x:v>
      </x:c>
      <x:c r="F101" s="6" t="str">
        <x:v>NOT_RUN</x:v>
      </x:c>
      <x:c r="G101" s="6" t="str">
        <x:v>geometry and stitch engineering</x:v>
      </x:c>
      <x:c r="H101" s="6" t="str">
        <x:v>M5-COMPOSITE</x:v>
      </x:c>
      <x:c r="I101" s="6" t="str">
        <x:v>edit, generate, validate</x:v>
      </x:c>
      <x:c r="J101" s="6" t="str">
        <x:v>Generate patch boundaries, cover sequence, optional cutting allowances and worksheets.</x:v>
      </x:c>
      <x:c r="K101" s="6" t="str">
        <x:v>U1, B1, B6</x:v>
      </x:c>
      <x:c r="L101" s="6" t="str">
        <x:v>https://sewingcraft.brother.eu/en/products/machines/pe-design-software/pe-design-11</x:v>
      </x:c>
      <x:c r="M101" s="6" t="str"/>
    </x:row>
    <x:row r="102" ht="72" customHeight="1">
      <x:c r="A102" s="6" t="str">
        <x:v>ED11</x:v>
      </x:c>
      <x:c r="B102" s="6" t="str">
        <x:v>Editing and construction</x:v>
      </x:c>
      <x:c r="C102" s="6" t="str">
        <x:v>Cutwork Wizard</x:v>
      </x:c>
      <x:c r="D102" s="6" t="str">
        <x:v>user_feature</x:v>
      </x:c>
      <x:c r="E102" s="6" t="str">
        <x:v>PLANNED</x:v>
      </x:c>
      <x:c r="F102" s="6" t="str">
        <x:v>NOT_RUN</x:v>
      </x:c>
      <x:c r="G102" s="6" t="str">
        <x:v>geometry and stitch engineering</x:v>
      </x:c>
      <x:c r="H102" s="6" t="str">
        <x:v>M5-COMPOSITE</x:v>
      </x:c>
      <x:c r="I102" s="6" t="str">
        <x:v>edit, generate, validate</x:v>
      </x:c>
      <x:c r="J102" s="6" t="str">
        <x:v>Add capability-gated cutwork stages and explicit tool/operator changes.</x:v>
      </x:c>
      <x:c r="K102" s="6" t="str">
        <x:v>U1, B1, B6</x:v>
      </x:c>
      <x:c r="L102" s="6" t="str">
        <x:v>https://sewingcraft.brother.eu/en/products/machines/pe-design-software/pe-design-11</x:v>
      </x:c>
      <x:c r="M102" s="6" t="str"/>
    </x:row>
    <x:row r="103" ht="72" customHeight="1">
      <x:c r="A103" s="6" t="str">
        <x:v>ED12</x:v>
      </x:c>
      <x:c r="B103" s="6" t="str">
        <x:v>Editing and construction</x:v>
      </x:c>
      <x:c r="C103" s="6" t="str">
        <x:v>Floral Line</x:v>
      </x:c>
      <x:c r="D103" s="6" t="str">
        <x:v>user_feature</x:v>
      </x:c>
      <x:c r="E103" s="6" t="str">
        <x:v>PLANNED</x:v>
      </x:c>
      <x:c r="F103" s="6" t="str">
        <x:v>NOT_RUN</x:v>
      </x:c>
      <x:c r="G103" s="6" t="str">
        <x:v>geometry and stitch engineering</x:v>
      </x:c>
      <x:c r="H103" s="6" t="str">
        <x:v>M3-GEOMETRY</x:v>
      </x:c>
      <x:c r="I103" s="6" t="str">
        <x:v>edit, generate, validate</x:v>
      </x:c>
      <x:c r="J103" s="6" t="str">
        <x:v>Create editable procedural floral motifs along a path.</x:v>
      </x:c>
      <x:c r="K103" s="6" t="str">
        <x:v>U1, B1, B6</x:v>
      </x:c>
      <x:c r="L103" s="6" t="str">
        <x:v>https://sewingcraft.brother.eu/en/products/machines/pe-design-software/pe-design-11</x:v>
      </x:c>
      <x:c r="M103" s="6" t="str"/>
    </x:row>
    <x:row r="104" ht="72" customHeight="1">
      <x:c r="A104" s="6" t="str">
        <x:v>ED13</x:v>
      </x:c>
      <x:c r="B104" s="6" t="str">
        <x:v>Editing and construction</x:v>
      </x:c>
      <x:c r="C104" s="6" t="str">
        <x:v>Keep Density of Stitch Patterns</x:v>
      </x:c>
      <x:c r="D104" s="6" t="str">
        <x:v>user_feature</x:v>
      </x:c>
      <x:c r="E104" s="6" t="str">
        <x:v>PLANNED</x:v>
      </x:c>
      <x:c r="F104" s="6" t="str">
        <x:v>NOT_RUN</x:v>
      </x:c>
      <x:c r="G104" s="6" t="str">
        <x:v>geometry and stitch engineering</x:v>
      </x:c>
      <x:c r="H104" s="6" t="str">
        <x:v>M3-GEOMETRY</x:v>
      </x:c>
      <x:c r="I104" s="6" t="str">
        <x:v>edit, generate, validate</x:v>
      </x:c>
      <x:c r="J104" s="6" t="str">
        <x:v>Regenerate native objects when resized; classify stitch-only resizing as reconstruction.</x:v>
      </x:c>
      <x:c r="K104" s="6" t="str">
        <x:v>U1, B1, B6</x:v>
      </x:c>
      <x:c r="L104" s="6" t="str">
        <x:v>https://sewingcraft.brother.eu/en/products/machines/pe-design-software/pe-design-11</x:v>
      </x:c>
      <x:c r="M104" s="6" t="str"/>
    </x:row>
    <x:row r="105" ht="72" customHeight="1">
      <x:c r="A105" s="6" t="str">
        <x:v>ED14</x:v>
      </x:c>
      <x:c r="B105" s="6" t="str">
        <x:v>Editing and construction</x:v>
      </x:c>
      <x:c r="C105" s="6" t="str">
        <x:v>Lock Function</x:v>
      </x:c>
      <x:c r="D105" s="6" t="str">
        <x:v>user_feature</x:v>
      </x:c>
      <x:c r="E105" s="6" t="str">
        <x:v>PLANNED</x:v>
      </x:c>
      <x:c r="F105" s="6" t="str">
        <x:v>NOT_RUN</x:v>
      </x:c>
      <x:c r="G105" s="6" t="str">
        <x:v>geometry and stitch engineering</x:v>
      </x:c>
      <x:c r="H105" s="6" t="str">
        <x:v>M3-GEOMETRY</x:v>
      </x:c>
      <x:c r="I105" s="6" t="str">
        <x:v>edit, generate, validate</x:v>
      </x:c>
      <x:c r="J105" s="6" t="str">
        <x:v>Lock objects/layers against incidental edits and define separate collaboration locks.</x:v>
      </x:c>
      <x:c r="K105" s="6" t="str">
        <x:v>U1, B1, B6</x:v>
      </x:c>
      <x:c r="L105" s="6" t="str">
        <x:v>https://sewingcraft.brother.eu/en/products/machines/pe-design-software/pe-design-11</x:v>
      </x:c>
      <x:c r="M105" s="6" t="str"/>
    </x:row>
    <x:row r="106" ht="72" customHeight="1">
      <x:c r="A106" s="6" t="str">
        <x:v>ED15</x:v>
      </x:c>
      <x:c r="B106" s="6" t="str">
        <x:v>Editing and construction</x:v>
      </x:c>
      <x:c r="C106" s="6" t="str">
        <x:v>Matrix Copy</x:v>
      </x:c>
      <x:c r="D106" s="6" t="str">
        <x:v>user_feature</x:v>
      </x:c>
      <x:c r="E106" s="6" t="str">
        <x:v>PLANNED</x:v>
      </x:c>
      <x:c r="F106" s="6" t="str">
        <x:v>NOT_RUN</x:v>
      </x:c>
      <x:c r="G106" s="6" t="str">
        <x:v>geometry and stitch engineering</x:v>
      </x:c>
      <x:c r="H106" s="6" t="str">
        <x:v>M3-GEOMETRY</x:v>
      </x:c>
      <x:c r="I106" s="6" t="str">
        <x:v>edit, generate, validate</x:v>
      </x:c>
      <x:c r="J106" s="6" t="str">
        <x:v>Parameterise grid copies with rows, columns, spacing and ordering.</x:v>
      </x:c>
      <x:c r="K106" s="6" t="str">
        <x:v>U1, B1, B6</x:v>
      </x:c>
      <x:c r="L106" s="6" t="str">
        <x:v>https://sewingcraft.brother.eu/en/products/machines/pe-design-software/pe-design-11</x:v>
      </x:c>
      <x:c r="M106" s="6" t="str"/>
    </x:row>
    <x:row r="107" ht="72" customHeight="1">
      <x:c r="A107" s="6" t="str">
        <x:v>ED16</x:v>
      </x:c>
      <x:c r="B107" s="6" t="str">
        <x:v>Editing and construction</x:v>
      </x:c>
      <x:c r="C107" s="6" t="str">
        <x:v>Mirror Copy</x:v>
      </x:c>
      <x:c r="D107" s="6" t="str">
        <x:v>user_feature</x:v>
      </x:c>
      <x:c r="E107" s="6" t="str">
        <x:v>PLANNED</x:v>
      </x:c>
      <x:c r="F107" s="6" t="str">
        <x:v>NOT_RUN</x:v>
      </x:c>
      <x:c r="G107" s="6" t="str">
        <x:v>geometry and stitch engineering</x:v>
      </x:c>
      <x:c r="H107" s="6" t="str">
        <x:v>M3-GEOMETRY</x:v>
      </x:c>
      <x:c r="I107" s="6" t="str">
        <x:v>edit, generate, validate</x:v>
      </x:c>
      <x:c r="J107" s="6" t="str">
        <x:v>Create reversible mirrored instances with explicit axis and sequence policy.</x:v>
      </x:c>
      <x:c r="K107" s="6" t="str">
        <x:v>U1, B1, B6</x:v>
      </x:c>
      <x:c r="L107" s="6" t="str">
        <x:v>https://sewingcraft.brother.eu/en/products/machines/pe-design-software/pe-design-11</x:v>
      </x:c>
      <x:c r="M107" s="6" t="str"/>
    </x:row>
    <x:row r="108" ht="72" customHeight="1">
      <x:c r="A108" s="6" t="str">
        <x:v>ED17</x:v>
      </x:c>
      <x:c r="B108" s="6" t="str">
        <x:v>Editing and construction</x:v>
      </x:c>
      <x:c r="C108" s="6" t="str">
        <x:v>Offset Line</x:v>
      </x:c>
      <x:c r="D108" s="6" t="str">
        <x:v>user_feature</x:v>
      </x:c>
      <x:c r="E108" s="6" t="str">
        <x:v>PLANNED</x:v>
      </x:c>
      <x:c r="F108" s="6" t="str">
        <x:v>NOT_RUN</x:v>
      </x:c>
      <x:c r="G108" s="6" t="str">
        <x:v>geometry and stitch engineering</x:v>
      </x:c>
      <x:c r="H108" s="6" t="str">
        <x:v>M3-GEOMETRY</x:v>
      </x:c>
      <x:c r="I108" s="6" t="str">
        <x:v>edit, generate, validate</x:v>
      </x:c>
      <x:c r="J108" s="6" t="str">
        <x:v>Use robust bounded offsets with join/cap style and hole policy.</x:v>
      </x:c>
      <x:c r="K108" s="6" t="str">
        <x:v>U1, B1, B6</x:v>
      </x:c>
      <x:c r="L108" s="6" t="str">
        <x:v>https://sewingcraft.brother.eu/en/products/machines/pe-design-software/pe-design-11</x:v>
      </x:c>
      <x:c r="M108" s="6" t="str"/>
    </x:row>
    <x:row r="109" ht="72" customHeight="1">
      <x:c r="A109" s="6" t="str">
        <x:v>ED18</x:v>
      </x:c>
      <x:c r="B109" s="6" t="str">
        <x:v>Editing and construction</x:v>
      </x:c>
      <x:c r="C109" s="6" t="str">
        <x:v>Point Editing</x:v>
      </x:c>
      <x:c r="D109" s="6" t="str">
        <x:v>user_feature</x:v>
      </x:c>
      <x:c r="E109" s="6" t="str">
        <x:v>CANDIDATE_SUBSET</x:v>
      </x:c>
      <x:c r="F109" s="6" t="str">
        <x:v>NOT_RUN</x:v>
      </x:c>
      <x:c r="G109" s="6" t="str">
        <x:v>geometry and stitch engineering</x:v>
      </x:c>
      <x:c r="H109" s="6" t="str">
        <x:v>M3-GEOMETRY</x:v>
      </x:c>
      <x:c r="I109" s="6" t="str">
        <x:v>edit, generate, validate</x:v>
      </x:c>
      <x:c r="J109" s="6" t="str">
        <x:v>Support numeric and direct control-point editing with stable object identity.</x:v>
      </x:c>
      <x:c r="K109" s="6" t="str">
        <x:v>U1, B1, B6</x:v>
      </x:c>
      <x:c r="L109" s="6" t="str">
        <x:v>https://sewingcraft.brother.eu/en/products/machines/pe-design-software/pe-design-11</x:v>
      </x:c>
      <x:c r="M109" s="6" t="str"/>
    </x:row>
    <x:row r="110" ht="72" customHeight="1">
      <x:c r="A110" s="6" t="str">
        <x:v>ED19</x:v>
      </x:c>
      <x:c r="B110" s="6" t="str">
        <x:v>Editing and construction</x:v>
      </x:c>
      <x:c r="C110" s="6" t="str">
        <x:v>Remove Overlapping</x:v>
      </x:c>
      <x:c r="D110" s="6" t="str">
        <x:v>user_feature</x:v>
      </x:c>
      <x:c r="E110" s="6" t="str">
        <x:v>PLANNED</x:v>
      </x:c>
      <x:c r="F110" s="6" t="str">
        <x:v>NOT_RUN</x:v>
      </x:c>
      <x:c r="G110" s="6" t="str">
        <x:v>geometry and stitch engineering</x:v>
      </x:c>
      <x:c r="H110" s="6" t="str">
        <x:v>M3-GEOMETRY</x:v>
      </x:c>
      <x:c r="I110" s="6" t="str">
        <x:v>edit, generate, validate</x:v>
      </x:c>
      <x:c r="J110" s="6" t="str">
        <x:v>Perform explicit subtraction/occlusion with stitch-coverage rules.</x:v>
      </x:c>
      <x:c r="K110" s="6" t="str">
        <x:v>U1, B1, B6</x:v>
      </x:c>
      <x:c r="L110" s="6" t="str">
        <x:v>https://sewingcraft.brother.eu/en/products/machines/pe-design-software/pe-design-11</x:v>
      </x:c>
      <x:c r="M110" s="6" t="str"/>
    </x:row>
    <x:row r="111" ht="72" customHeight="1">
      <x:c r="A111" s="6" t="str">
        <x:v>ED20</x:v>
      </x:c>
      <x:c r="B111" s="6" t="str">
        <x:v>Editing and construction</x:v>
      </x:c>
      <x:c r="C111" s="6" t="str">
        <x:v>Merge</x:v>
      </x:c>
      <x:c r="D111" s="6" t="str">
        <x:v>user_feature</x:v>
      </x:c>
      <x:c r="E111" s="6" t="str">
        <x:v>PLANNED</x:v>
      </x:c>
      <x:c r="F111" s="6" t="str">
        <x:v>NOT_RUN</x:v>
      </x:c>
      <x:c r="G111" s="6" t="str">
        <x:v>geometry and stitch engineering</x:v>
      </x:c>
      <x:c r="H111" s="6" t="str">
        <x:v>M3-GEOMETRY</x:v>
      </x:c>
      <x:c r="I111" s="6" t="str">
        <x:v>edit, generate, validate</x:v>
      </x:c>
      <x:c r="J111" s="6" t="str">
        <x:v>Merge compatible geometry while preserving semantic provenance.</x:v>
      </x:c>
      <x:c r="K111" s="6" t="str">
        <x:v>U1, B1, B6</x:v>
      </x:c>
      <x:c r="L111" s="6" t="str">
        <x:v>https://sewingcraft.brother.eu/en/products/machines/pe-design-software/pe-design-11</x:v>
      </x:c>
      <x:c r="M111" s="6" t="str"/>
    </x:row>
    <x:row r="112" ht="72" customHeight="1">
      <x:c r="A112" s="6" t="str">
        <x:v>ED21</x:v>
      </x:c>
      <x:c r="B112" s="6" t="str">
        <x:v>Editing and construction</x:v>
      </x:c>
      <x:c r="C112" s="6" t="str">
        <x:v>Hole Sewing Setting</x:v>
      </x:c>
      <x:c r="D112" s="6" t="str">
        <x:v>user_feature</x:v>
      </x:c>
      <x:c r="E112" s="6" t="str">
        <x:v>PLANNED</x:v>
      </x:c>
      <x:c r="F112" s="6" t="str">
        <x:v>NOT_RUN</x:v>
      </x:c>
      <x:c r="G112" s="6" t="str">
        <x:v>geometry and stitch engineering</x:v>
      </x:c>
      <x:c r="H112" s="6" t="str">
        <x:v>M3-GEOMETRY</x:v>
      </x:c>
      <x:c r="I112" s="6" t="str">
        <x:v>edit, generate, validate</x:v>
      </x:c>
      <x:c r="J112" s="6" t="str">
        <x:v>Store holes as first-class topology in generation and preview.</x:v>
      </x:c>
      <x:c r="K112" s="6" t="str">
        <x:v>U1, B1, B6</x:v>
      </x:c>
      <x:c r="L112" s="6" t="str">
        <x:v>https://sewingcraft.brother.eu/en/products/machines/pe-design-software/pe-design-11</x:v>
      </x:c>
      <x:c r="M112" s="6" t="str"/>
    </x:row>
    <x:row r="113" ht="72" customHeight="1">
      <x:c r="A113" s="6" t="str">
        <x:v>ED22</x:v>
      </x:c>
      <x:c r="B113" s="6" t="str">
        <x:v>Editing and construction</x:v>
      </x:c>
      <x:c r="C113" s="6" t="str">
        <x:v>Scale</x:v>
      </x:c>
      <x:c r="D113" s="6" t="str">
        <x:v>user_feature</x:v>
      </x:c>
      <x:c r="E113" s="6" t="str">
        <x:v>PLANNED</x:v>
      </x:c>
      <x:c r="F113" s="6" t="str">
        <x:v>NOT_RUN</x:v>
      </x:c>
      <x:c r="G113" s="6" t="str">
        <x:v>geometry and stitch engineering</x:v>
      </x:c>
      <x:c r="H113" s="6" t="str">
        <x:v>M3-GEOMETRY</x:v>
      </x:c>
      <x:c r="I113" s="6" t="str">
        <x:v>edit, generate, validate</x:v>
      </x:c>
      <x:c r="J113" s="6" t="str">
        <x:v>Scale with physical units and regenerate where native intent exists.</x:v>
      </x:c>
      <x:c r="K113" s="6" t="str">
        <x:v>U1, B1, B6</x:v>
      </x:c>
      <x:c r="L113" s="6" t="str">
        <x:v>https://sewingcraft.brother.eu/en/products/machines/pe-design-software/pe-design-11</x:v>
      </x:c>
      <x:c r="M113" s="6" t="str"/>
    </x:row>
    <x:row r="114" ht="72" customHeight="1">
      <x:c r="A114" s="6" t="str">
        <x:v>ED23</x:v>
      </x:c>
      <x:c r="B114" s="6" t="str">
        <x:v>Editing and construction</x:v>
      </x:c>
      <x:c r="C114" s="6" t="str">
        <x:v>Rotate</x:v>
      </x:c>
      <x:c r="D114" s="6" t="str">
        <x:v>user_feature</x:v>
      </x:c>
      <x:c r="E114" s="6" t="str">
        <x:v>PLANNED</x:v>
      </x:c>
      <x:c r="F114" s="6" t="str">
        <x:v>NOT_RUN</x:v>
      </x:c>
      <x:c r="G114" s="6" t="str">
        <x:v>geometry and stitch engineering</x:v>
      </x:c>
      <x:c r="H114" s="6" t="str">
        <x:v>M3-GEOMETRY</x:v>
      </x:c>
      <x:c r="I114" s="6" t="str">
        <x:v>edit, generate, validate</x:v>
      </x:c>
      <x:c r="J114" s="6" t="str">
        <x:v>Rotate geometry and relevant directional fields around a selected pivot.</x:v>
      </x:c>
      <x:c r="K114" s="6" t="str">
        <x:v>U1, B1, B6</x:v>
      </x:c>
      <x:c r="L114" s="6" t="str">
        <x:v>https://sewingcraft.brother.eu/en/products/machines/pe-design-software/pe-design-11</x:v>
      </x:c>
      <x:c r="M114" s="6" t="str"/>
    </x:row>
    <x:row r="115" ht="72" customHeight="1">
      <x:c r="A115" s="6" t="str">
        <x:v>ED24</x:v>
      </x:c>
      <x:c r="B115" s="6" t="str">
        <x:v>Editing and construction</x:v>
      </x:c>
      <x:c r="C115" s="6" t="str">
        <x:v>Flip</x:v>
      </x:c>
      <x:c r="D115" s="6" t="str">
        <x:v>user_feature</x:v>
      </x:c>
      <x:c r="E115" s="6" t="str">
        <x:v>PLANNED</x:v>
      </x:c>
      <x:c r="F115" s="6" t="str">
        <x:v>NOT_RUN</x:v>
      </x:c>
      <x:c r="G115" s="6" t="str">
        <x:v>geometry and stitch engineering</x:v>
      </x:c>
      <x:c r="H115" s="6" t="str">
        <x:v>M3-GEOMETRY</x:v>
      </x:c>
      <x:c r="I115" s="6" t="str">
        <x:v>edit, generate, validate</x:v>
      </x:c>
      <x:c r="J115" s="6" t="str">
        <x:v>Flip geometry with explicit physical and layer semantics.</x:v>
      </x:c>
      <x:c r="K115" s="6" t="str">
        <x:v>U1, B1, B6</x:v>
      </x:c>
      <x:c r="L115" s="6" t="str">
        <x:v>https://sewingcraft.brother.eu/en/products/machines/pe-design-software/pe-design-11</x:v>
      </x:c>
      <x:c r="M115" s="6" t="str"/>
    </x:row>
    <x:row r="116" ht="72" customHeight="1">
      <x:c r="A116" s="6" t="str">
        <x:v>ED25</x:v>
      </x:c>
      <x:c r="B116" s="6" t="str">
        <x:v>Editing and construction</x:v>
      </x:c>
      <x:c r="C116" s="6" t="str">
        <x:v>Sewing Order Optimization</x:v>
      </x:c>
      <x:c r="D116" s="6" t="str">
        <x:v>user_feature</x:v>
      </x:c>
      <x:c r="E116" s="6" t="str">
        <x:v>PLANNED</x:v>
      </x:c>
      <x:c r="F116" s="6" t="str">
        <x:v>NOT_RUN</x:v>
      </x:c>
      <x:c r="G116" s="6" t="str">
        <x:v>geometry and stitch engineering</x:v>
      </x:c>
      <x:c r="H116" s="6" t="str">
        <x:v>M3-GEOMETRY</x:v>
      </x:c>
      <x:c r="I116" s="6" t="str">
        <x:v>edit, generate, validate</x:v>
      </x:c>
      <x:c r="J116" s="6" t="str">
        <x:v>Optimise travel under a precedence graph for layering, underlay, applique and operator stages.</x:v>
      </x:c>
      <x:c r="K116" s="6" t="str">
        <x:v>U1, B1, B6</x:v>
      </x:c>
      <x:c r="L116" s="6" t="str">
        <x:v>https://sewingcraft.brother.eu/en/products/machines/pe-design-software/pe-design-11</x:v>
      </x:c>
      <x:c r="M116" s="6" t="str"/>
    </x:row>
    <x:row r="117" ht="72" customHeight="1">
      <x:c r="A117" s="6" t="str">
        <x:v>ED26</x:v>
      </x:c>
      <x:c r="B117" s="6" t="str">
        <x:v>Editing and construction</x:v>
      </x:c>
      <x:c r="C117" s="6" t="str">
        <x:v>Splitting Off/Dividing Stitch Pattern</x:v>
      </x:c>
      <x:c r="D117" s="6" t="str">
        <x:v>user_feature</x:v>
      </x:c>
      <x:c r="E117" s="6" t="str">
        <x:v>PLANNED</x:v>
      </x:c>
      <x:c r="F117" s="6" t="str">
        <x:v>NOT_RUN</x:v>
      </x:c>
      <x:c r="G117" s="6" t="str">
        <x:v>geometry and stitch engineering</x:v>
      </x:c>
      <x:c r="H117" s="6" t="str">
        <x:v>M3-GEOMETRY</x:v>
      </x:c>
      <x:c r="I117" s="6" t="str">
        <x:v>edit, generate, validate</x:v>
      </x:c>
      <x:c r="J117" s="6" t="str">
        <x:v>Split native objects or stitch blocks with provenance and boundary controls.</x:v>
      </x:c>
      <x:c r="K117" s="6" t="str">
        <x:v>U1, B1, B6</x:v>
      </x:c>
      <x:c r="L117" s="6" t="str">
        <x:v>https://sewingcraft.brother.eu/en/products/machines/pe-design-software/pe-design-11</x:v>
      </x:c>
      <x:c r="M117" s="6" t="str"/>
    </x:row>
    <x:row r="118" ht="72" customHeight="1">
      <x:c r="A118" s="6" t="str">
        <x:v>ED27</x:v>
      </x:c>
      <x:c r="B118" s="6" t="str">
        <x:v>Editing and construction</x:v>
      </x:c>
      <x:c r="C118" s="6" t="str">
        <x:v>Stitch Point Editing</x:v>
      </x:c>
      <x:c r="D118" s="6" t="str">
        <x:v>user_feature</x:v>
      </x:c>
      <x:c r="E118" s="6" t="str">
        <x:v>PLANNED</x:v>
      </x:c>
      <x:c r="F118" s="6" t="str">
        <x:v>NOT_RUN</x:v>
      </x:c>
      <x:c r="G118" s="6" t="str">
        <x:v>geometry and stitch engineering</x:v>
      </x:c>
      <x:c r="H118" s="6" t="str">
        <x:v>M3-GEOMETRY</x:v>
      </x:c>
      <x:c r="I118" s="6" t="str">
        <x:v>edit, generate, validate</x:v>
      </x:c>
      <x:c r="J118" s="6" t="str">
        <x:v>Permit explicit human edits to stitch plans through a restricted editor.</x:v>
      </x:c>
      <x:c r="K118" s="6" t="str">
        <x:v>U1, B1, B6</x:v>
      </x:c>
      <x:c r="L118" s="6" t="str">
        <x:v>https://sewingcraft.brother.eu/en/products/machines/pe-design-software/pe-design-11</x:v>
      </x:c>
      <x:c r="M118" s="6" t="str"/>
    </x:row>
    <x:row r="119" ht="72" customHeight="1">
      <x:c r="A119" s="6" t="str">
        <x:v>ED28</x:v>
      </x:c>
      <x:c r="B119" s="6" t="str">
        <x:v>Editing and construction</x:v>
      </x:c>
      <x:c r="C119" s="6" t="str">
        <x:v>Stitch to Block function</x:v>
      </x:c>
      <x:c r="D119" s="6" t="str">
        <x:v>user_feature</x:v>
      </x:c>
      <x:c r="E119" s="6" t="str">
        <x:v>PLANNED</x:v>
      </x:c>
      <x:c r="F119" s="6" t="str">
        <x:v>NOT_RUN</x:v>
      </x:c>
      <x:c r="G119" s="6" t="str">
        <x:v>geometry and stitch engineering</x:v>
      </x:c>
      <x:c r="H119" s="6" t="str">
        <x:v>M3-GEOMETRY</x:v>
      </x:c>
      <x:c r="I119" s="6" t="str">
        <x:v>edit, generate, validate</x:v>
      </x:c>
      <x:c r="J119" s="6" t="str">
        <x:v>Infer editable groups from stitch-only data and record uncertainty.</x:v>
      </x:c>
      <x:c r="K119" s="6" t="str">
        <x:v>U1, B1, B6</x:v>
      </x:c>
      <x:c r="L119" s="6" t="str">
        <x:v>https://sewingcraft.brother.eu/en/products/machines/pe-design-software/pe-design-11</x:v>
      </x:c>
      <x:c r="M119" s="6" t="str"/>
    </x:row>
    <x:row r="120" ht="72" customHeight="1">
      <x:c r="A120" s="6" t="str">
        <x:v>F01</x:v>
      </x:c>
      <x:c r="B120" s="6" t="str">
        <x:v>Lettering</x:v>
      </x:c>
      <x:c r="C120" s="6" t="str">
        <x:v>130 fonts / 100 built-in / hundreds</x:v>
      </x:c>
      <x:c r="D120" s="6" t="str">
        <x:v>user_feature</x:v>
      </x:c>
      <x:c r="E120" s="6" t="str">
        <x:v>PLANNED</x:v>
      </x:c>
      <x:c r="F120" s="6" t="str">
        <x:v>NOT_RUN</x:v>
      </x:c>
      <x:c r="G120" s="6" t="str">
        <x:v>lettering engineering</x:v>
      </x:c>
      <x:c r="H120" s="6" t="str">
        <x:v>M4-LETTERING</x:v>
      </x:c>
      <x:c r="I120" s="6" t="str">
        <x:v>generate, view, catalogue_qc</x:v>
      </x:c>
      <x:c r="J120" s="6" t="str">
        <x:v>Build a licensed digitised-font catalogue with clearly counted categories; target at least 130 qualified families for a parity release.</x:v>
      </x:c>
      <x:c r="K120" s="6" t="str">
        <x:v>U1, B8, B1</x:v>
      </x:c>
      <x:c r="L120" s="6" t="str">
        <x:v>https://support.brother.com/g/s/hf/htmldoc/ped/im/ped11/en/PED11.2_EN/pages/05_1810676.html</x:v>
      </x:c>
      <x:c r="M120" s="6" t="str">
        <x:v>Counts are targets for an original/licensed catalogue, not delivered assets.</x:v>
      </x:c>
    </x:row>
    <x:row r="121" ht="72" customHeight="1">
      <x:c r="A121" s="6" t="str">
        <x:v>F02</x:v>
      </x:c>
      <x:c r="B121" s="6" t="str">
        <x:v>Lettering</x:v>
      </x:c>
      <x:c r="C121" s="6" t="str">
        <x:v>Font filter</x:v>
      </x:c>
      <x:c r="D121" s="6" t="str">
        <x:v>user_feature</x:v>
      </x:c>
      <x:c r="E121" s="6" t="str">
        <x:v>PLANNED</x:v>
      </x:c>
      <x:c r="F121" s="6" t="str">
        <x:v>NOT_RUN</x:v>
      </x:c>
      <x:c r="G121" s="6" t="str">
        <x:v>lettering engineering</x:v>
      </x:c>
      <x:c r="H121" s="6" t="str">
        <x:v>M4-LETTERING</x:v>
      </x:c>
      <x:c r="I121" s="6" t="str">
        <x:v>generate, view, catalogue_qc</x:v>
      </x:c>
      <x:c r="J121" s="6" t="str">
        <x:v>Filter fonts by script, style, material/size evidence and glyph availability.</x:v>
      </x:c>
      <x:c r="K121" s="6" t="str">
        <x:v>U1, B8, B1</x:v>
      </x:c>
      <x:c r="L121" s="6" t="str">
        <x:v>https://support.brother.com/g/s/hf/htmldoc/ped/im/ped11/en/PED11.2_EN/pages/05_1810676.html</x:v>
      </x:c>
      <x:c r="M121" s="6" t="str">
        <x:v>Counts are targets for an original/licensed catalogue, not delivered assets.</x:v>
      </x:c>
    </x:row>
    <x:row r="122" ht="72" customHeight="1">
      <x:c r="A122" s="6" t="str">
        <x:v>F03</x:v>
      </x:c>
      <x:c r="B122" s="6" t="str">
        <x:v>Lettering</x:v>
      </x:c>
      <x:c r="C122" s="6" t="str">
        <x:v>Font Creator with font import</x:v>
      </x:c>
      <x:c r="D122" s="6" t="str">
        <x:v>user_feature</x:v>
      </x:c>
      <x:c r="E122" s="6" t="str">
        <x:v>PLANNED</x:v>
      </x:c>
      <x:c r="F122" s="6" t="str">
        <x:v>NOT_RUN</x:v>
      </x:c>
      <x:c r="G122" s="6" t="str">
        <x:v>lettering engineering</x:v>
      </x:c>
      <x:c r="H122" s="6" t="str">
        <x:v>M4-LETTERING</x:v>
      </x:c>
      <x:c r="I122" s="6" t="str">
        <x:v>generate, view, catalogue_qc</x:v>
      </x:c>
      <x:c r="J122" s="6" t="str">
        <x:v>Create editable glyph geometry, metrics and stitch strategies from authorised sources.</x:v>
      </x:c>
      <x:c r="K122" s="6" t="str">
        <x:v>U1, B8, B1</x:v>
      </x:c>
      <x:c r="L122" s="6" t="str">
        <x:v>https://support.brother.com/g/s/hf/htmldoc/ped/im/ped11/en/PED11.2_EN/pages/05_1810676.html</x:v>
      </x:c>
      <x:c r="M122" s="6" t="str">
        <x:v>Counts are targets for an original/licensed catalogue, not delivered assets.</x:v>
      </x:c>
    </x:row>
    <x:row r="123" ht="72" customHeight="1">
      <x:c r="A123" s="6" t="str">
        <x:v>F04</x:v>
      </x:c>
      <x:c r="B123" s="6" t="str">
        <x:v>Lettering</x:v>
      </x:c>
      <x:c r="C123" s="6" t="str">
        <x:v>Font Mapping: register embroidery data as a font</x:v>
      </x:c>
      <x:c r="D123" s="6" t="str">
        <x:v>user_feature</x:v>
      </x:c>
      <x:c r="E123" s="6" t="str">
        <x:v>PLANNED</x:v>
      </x:c>
      <x:c r="F123" s="6" t="str">
        <x:v>NOT_RUN</x:v>
      </x:c>
      <x:c r="G123" s="6" t="str">
        <x:v>lettering engineering</x:v>
      </x:c>
      <x:c r="H123" s="6" t="str">
        <x:v>M4-LETTERING</x:v>
      </x:c>
      <x:c r="I123" s="6" t="str">
        <x:v>generate, view, catalogue_qc</x:v>
      </x:c>
      <x:c r="J123" s="6" t="str">
        <x:v>Map authorised stitch glyphs to characters with baseline, advance, kerning and scale limits.</x:v>
      </x:c>
      <x:c r="K123" s="6" t="str">
        <x:v>U1, B8, B1</x:v>
      </x:c>
      <x:c r="L123" s="6" t="str">
        <x:v>https://support.brother.com/g/s/hf/htmldoc/ped/im/ped11/en/PED11.2_EN/pages/05_1810676.html</x:v>
      </x:c>
      <x:c r="M123" s="6" t="str">
        <x:v>Counts are targets for an original/licensed catalogue, not delivered assets.</x:v>
      </x:c>
    </x:row>
    <x:row r="124" ht="72" customHeight="1">
      <x:c r="A124" s="6" t="str">
        <x:v>F05</x:v>
      </x:c>
      <x:c r="B124" s="6" t="str">
        <x:v>Lettering</x:v>
      </x:c>
      <x:c r="C124" s="6" t="str">
        <x:v>Monogram: 2</x:v>
      </x:c>
      <x:c r="D124" s="6" t="str">
        <x:v>user_feature</x:v>
      </x:c>
      <x:c r="E124" s="6" t="str">
        <x:v>PLANNED</x:v>
      </x:c>
      <x:c r="F124" s="6" t="str">
        <x:v>NOT_RUN</x:v>
      </x:c>
      <x:c r="G124" s="6" t="str">
        <x:v>lettering engineering</x:v>
      </x:c>
      <x:c r="H124" s="6" t="str">
        <x:v>M4-LETTERING</x:v>
      </x:c>
      <x:c r="I124" s="6" t="str">
        <x:v>generate, view, catalogue_qc</x:v>
      </x:c>
      <x:c r="J124" s="6" t="str">
        <x:v>Provide at least two independently created configurable monogram layout families.</x:v>
      </x:c>
      <x:c r="K124" s="6" t="str">
        <x:v>U1, B8, B1</x:v>
      </x:c>
      <x:c r="L124" s="6" t="str">
        <x:v>https://support.brother.com/g/s/hf/htmldoc/ped/im/ped11/en/PED11.2_EN/pages/05_1810676.html</x:v>
      </x:c>
      <x:c r="M124" s="6" t="str">
        <x:v>Counts are targets for an original/licensed catalogue, not delivered assets.</x:v>
      </x:c>
    </x:row>
    <x:row r="125" ht="72" customHeight="1">
      <x:c r="A125" s="6" t="str">
        <x:v>F06</x:v>
      </x:c>
      <x:c r="B125" s="6" t="str">
        <x:v>Lettering</x:v>
      </x:c>
      <x:c r="C125" s="6" t="str">
        <x:v>Name Drop</x:v>
      </x:c>
      <x:c r="D125" s="6" t="str">
        <x:v>user_feature</x:v>
      </x:c>
      <x:c r="E125" s="6" t="str">
        <x:v>PLANNED</x:v>
      </x:c>
      <x:c r="F125" s="6" t="str">
        <x:v>NOT_RUN</x:v>
      </x:c>
      <x:c r="G125" s="6" t="str">
        <x:v>lettering engineering</x:v>
      </x:c>
      <x:c r="H125" s="6" t="str">
        <x:v>M4-LETTERING</x:v>
      </x:c>
      <x:c r="I125" s="6" t="str">
        <x:v>generate, view, catalogue_qc</x:v>
      </x:c>
      <x:c r="J125" s="6" t="str">
        <x:v>Generate batch personalised names from validated tables.</x:v>
      </x:c>
      <x:c r="K125" s="6" t="str">
        <x:v>U1, B8, B1</x:v>
      </x:c>
      <x:c r="L125" s="6" t="str">
        <x:v>https://support.brother.com/g/s/hf/htmldoc/ped/im/ped11/en/PED11.2_EN/pages/05_1810676.html</x:v>
      </x:c>
      <x:c r="M125" s="6" t="str">
        <x:v>Counts are targets for an original/licensed catalogue, not delivered assets.</x:v>
      </x:c>
    </x:row>
    <x:row r="126" ht="72" customHeight="1">
      <x:c r="A126" s="6" t="str">
        <x:v>F07</x:v>
      </x:c>
      <x:c r="B126" s="6" t="str">
        <x:v>Lettering</x:v>
      </x:c>
      <x:c r="C126" s="6" t="str">
        <x:v>Outline Around Letters</x:v>
      </x:c>
      <x:c r="D126" s="6" t="str">
        <x:v>user_feature</x:v>
      </x:c>
      <x:c r="E126" s="6" t="str">
        <x:v>PLANNED</x:v>
      </x:c>
      <x:c r="F126" s="6" t="str">
        <x:v>NOT_RUN</x:v>
      </x:c>
      <x:c r="G126" s="6" t="str">
        <x:v>lettering engineering</x:v>
      </x:c>
      <x:c r="H126" s="6" t="str">
        <x:v>M4-LETTERING</x:v>
      </x:c>
      <x:c r="I126" s="6" t="str">
        <x:v>generate, view, catalogue_qc</x:v>
      </x:c>
      <x:c r="J126" s="6" t="str">
        <x:v>Add robust contours/offsets around shaped text while preserving counters.</x:v>
      </x:c>
      <x:c r="K126" s="6" t="str">
        <x:v>U1, B8, B1</x:v>
      </x:c>
      <x:c r="L126" s="6" t="str">
        <x:v>https://support.brother.com/g/s/hf/htmldoc/ped/im/ped11/en/PED11.2_EN/pages/05_1810676.html</x:v>
      </x:c>
      <x:c r="M126" s="6" t="str">
        <x:v>Counts are targets for an original/licensed catalogue, not delivered assets.</x:v>
      </x:c>
    </x:row>
    <x:row r="127" ht="72" customHeight="1">
      <x:c r="A127" s="6" t="str">
        <x:v>F08</x:v>
      </x:c>
      <x:c r="B127" s="6" t="str">
        <x:v>Lettering</x:v>
      </x:c>
      <x:c r="C127" s="6" t="str">
        <x:v>Small Font: 10</x:v>
      </x:c>
      <x:c r="D127" s="6" t="str">
        <x:v>user_feature</x:v>
      </x:c>
      <x:c r="E127" s="6" t="str">
        <x:v>PLANNED</x:v>
      </x:c>
      <x:c r="F127" s="6" t="str">
        <x:v>NOT_RUN</x:v>
      </x:c>
      <x:c r="G127" s="6" t="str">
        <x:v>lettering engineering</x:v>
      </x:c>
      <x:c r="H127" s="6" t="str">
        <x:v>M4-LETTERING</x:v>
      </x:c>
      <x:c r="I127" s="6" t="str">
        <x:v>generate, view, catalogue_qc</x:v>
      </x:c>
      <x:c r="J127" s="6" t="str">
        <x:v>Develop at least ten licensed digitised small-text families with scoped size evidence.</x:v>
      </x:c>
      <x:c r="K127" s="6" t="str">
        <x:v>U1, B8, B1</x:v>
      </x:c>
      <x:c r="L127" s="6" t="str">
        <x:v>https://support.brother.com/g/s/hf/htmldoc/ped/im/ped11/en/PED11.2_EN/pages/05_1810676.html</x:v>
      </x:c>
      <x:c r="M127" s="6" t="str">
        <x:v>Counts are targets for an original/licensed catalogue, not delivered assets.</x:v>
      </x:c>
    </x:row>
    <x:row r="128" ht="72" customHeight="1">
      <x:c r="A128" s="6" t="str">
        <x:v>F09</x:v>
      </x:c>
      <x:c r="B128" s="6" t="str">
        <x:v>Lettering</x:v>
      </x:c>
      <x:c r="C128" s="6" t="str">
        <x:v>Text Transform</x:v>
      </x:c>
      <x:c r="D128" s="6" t="str">
        <x:v>user_feature</x:v>
      </x:c>
      <x:c r="E128" s="6" t="str">
        <x:v>PLANNED</x:v>
      </x:c>
      <x:c r="F128" s="6" t="str">
        <x:v>NOT_RUN</x:v>
      </x:c>
      <x:c r="G128" s="6" t="str">
        <x:v>lettering engineering</x:v>
      </x:c>
      <x:c r="H128" s="6" t="str">
        <x:v>M4-LETTERING</x:v>
      </x:c>
      <x:c r="I128" s="6" t="str">
        <x:v>generate, view, catalogue_qc</x:v>
      </x:c>
      <x:c r="J128" s="6" t="str">
        <x:v>Support baseline curves, envelope/arc placement, spacing and per-glyph transforms.</x:v>
      </x:c>
      <x:c r="K128" s="6" t="str">
        <x:v>U1, B8, B1</x:v>
      </x:c>
      <x:c r="L128" s="6" t="str">
        <x:v>https://support.brother.com/g/s/hf/htmldoc/ped/im/ped11/en/PED11.2_EN/pages/05_1810676.html</x:v>
      </x:c>
      <x:c r="M128" s="6" t="str">
        <x:v>Counts are targets for an original/licensed catalogue, not delivered assets.</x:v>
      </x:c>
    </x:row>
    <x:row r="129" ht="72" customHeight="1">
      <x:c r="A129" s="6" t="str">
        <x:v>F10</x:v>
      </x:c>
      <x:c r="B129" s="6" t="str">
        <x:v>Lettering</x:v>
      </x:c>
      <x:c r="C129" s="6" t="str">
        <x:v>True Type Font</x:v>
      </x:c>
      <x:c r="D129" s="6" t="str">
        <x:v>user_feature</x:v>
      </x:c>
      <x:c r="E129" s="6" t="str">
        <x:v>PLANNED</x:v>
      </x:c>
      <x:c r="F129" s="6" t="str">
        <x:v>NOT_RUN</x:v>
      </x:c>
      <x:c r="G129" s="6" t="str">
        <x:v>lettering engineering</x:v>
      </x:c>
      <x:c r="H129" s="6" t="str">
        <x:v>M4-LETTERING</x:v>
      </x:c>
      <x:c r="I129" s="6" t="str">
        <x:v>generate, view, catalogue_qc</x:v>
      </x:c>
      <x:c r="J129" s="6" t="str">
        <x:v>Import authorised outline fonts and generate embroidery using a shaping/digitising pipeline.</x:v>
      </x:c>
      <x:c r="K129" s="6" t="str">
        <x:v>U1, B8, B1</x:v>
      </x:c>
      <x:c r="L129" s="6" t="str">
        <x:v>https://support.brother.com/g/s/hf/htmldoc/ped/im/ped11/en/PED11.2_EN/pages/05_1810676.html</x:v>
      </x:c>
      <x:c r="M129" s="6" t="str">
        <x:v>Counts are targets for an original/licensed catalogue, not delivered assets.</x:v>
      </x:c>
    </x:row>
    <x:row r="130" ht="72" customHeight="1">
      <x:c r="A130" s="6" t="str">
        <x:v>F11</x:v>
      </x:c>
      <x:c r="B130" s="6" t="str">
        <x:v>Lettering</x:v>
      </x:c>
      <x:c r="C130" s="6" t="str">
        <x:v>Multilingual text and glyph provenance (extension)</x:v>
      </x:c>
      <x:c r="D130" s="6" t="str">
        <x:v>proposed_extension</x:v>
      </x:c>
      <x:c r="E130" s="6" t="str">
        <x:v>PLANNED</x:v>
      </x:c>
      <x:c r="F130" s="6" t="str">
        <x:v>NOT_RUN</x:v>
      </x:c>
      <x:c r="G130" s="6" t="str">
        <x:v>lettering engineering</x:v>
      </x:c>
      <x:c r="H130" s="6" t="str">
        <x:v>M4-LETTERING</x:v>
      </x:c>
      <x:c r="I130" s="6" t="str">
        <x:v>generate, view, catalogue_qc</x:v>
      </x:c>
      <x:c r="J130" s="6" t="str">
        <x:v>Add script shaping, combining marks, bidirectional text and explicit fallback controls.</x:v>
      </x:c>
      <x:c r="K130" s="6" t="str">
        <x:v>P1</x:v>
      </x:c>
      <x:c r="L130" s="6" t="str"/>
      <x:c r="M130" s="6" t="str">
        <x:v>Counts are targets for an original/licensed catalogue, not delivered assets.</x:v>
      </x:c>
    </x:row>
    <x:row r="131" ht="72" customHeight="1">
      <x:c r="A131" s="6" t="str">
        <x:v>L01</x:v>
      </x:c>
      <x:c r="B131" s="6" t="str">
        <x:v>Line stitch families</x:v>
      </x:c>
      <x:c r="C131" s="6" t="str">
        <x:v>Running</x:v>
      </x:c>
      <x:c r="D131" s="6" t="str">
        <x:v>user_feature</x:v>
      </x:c>
      <x:c r="E131" s="6" t="str">
        <x:v>LIBRARY_SUBSET</x:v>
      </x:c>
      <x:c r="F131" s="6" t="str">
        <x:v>NOT_RUN</x:v>
      </x:c>
      <x:c r="G131" s="6" t="str">
        <x:v>Rust stitch engineering</x:v>
      </x:c>
      <x:c r="H131" s="6" t="str">
        <x:v>M3-STITCH</x:v>
      </x:c>
      <x:c r="I131" s="6" t="str">
        <x:v>generate, export, physical_qc</x:v>
      </x:c>
      <x:c r="J131" s="6" t="str">
        <x:v>Arc-length resampling, repeated-pass options and quantised length checks.</x:v>
      </x:c>
      <x:c r="K131" s="6" t="str">
        <x:v>U1, B2, B9</x:v>
      </x:c>
      <x:c r="L131" s="6" t="str">
        <x:v>https://support.brother.com/g/s/hf/htmldoc/ped/im/ped11/en/PED11_EN/pages/04_2106044.html</x:v>
      </x:c>
      <x:c r="M131" s="6" t="str">
        <x:v>Core running exists in a bounded subset; no physical parity acceptance in this pack.</x:v>
      </x:c>
    </x:row>
    <x:row r="132" ht="72" customHeight="1">
      <x:c r="A132" s="6" t="str">
        <x:v>L02X</x:v>
      </x:c>
      <x:c r="B132" s="6" t="str">
        <x:v>Line stitch families</x:v>
      </x:c>
      <x:c r="C132" s="6" t="str">
        <x:v>Zigzag</x:v>
      </x:c>
      <x:c r="D132" s="6" t="str">
        <x:v>user_feature</x:v>
      </x:c>
      <x:c r="E132" s="6" t="str">
        <x:v>PLANNED</x:v>
      </x:c>
      <x:c r="F132" s="6" t="str">
        <x:v>NOT_RUN</x:v>
      </x:c>
      <x:c r="G132" s="6" t="str">
        <x:v>Rust stitch engineering</x:v>
      </x:c>
      <x:c r="H132" s="6" t="str">
        <x:v>M3-STITCH</x:v>
      </x:c>
      <x:c r="I132" s="6" t="str">
        <x:v>generate, export, physical_qc</x:v>
      </x:c>
      <x:c r="J132" s="6" t="str">
        <x:v>Path normals, width/density controls and bounded corner treatment.</x:v>
      </x:c>
      <x:c r="K132" s="6" t="str">
        <x:v>U1, B2, B9</x:v>
      </x:c>
      <x:c r="L132" s="6" t="str">
        <x:v>https://support.brother.com/g/s/hf/htmldoc/ped/im/ped11/en/PED11_EN/pages/04_2106044.html</x:v>
      </x:c>
      <x:c r="M132" s="6" t="str"/>
    </x:row>
    <x:row r="133" ht="72" customHeight="1">
      <x:c r="A133" s="6" t="str">
        <x:v>L03</x:v>
      </x:c>
      <x:c r="B133" s="6" t="str">
        <x:v>Line stitch families</x:v>
      </x:c>
      <x:c r="C133" s="6" t="str">
        <x:v>Triple</x:v>
      </x:c>
      <x:c r="D133" s="6" t="str">
        <x:v>user_feature</x:v>
      </x:c>
      <x:c r="E133" s="6" t="str">
        <x:v>PLANNED</x:v>
      </x:c>
      <x:c r="F133" s="6" t="str">
        <x:v>NOT_RUN</x:v>
      </x:c>
      <x:c r="G133" s="6" t="str">
        <x:v>Rust stitch engineering</x:v>
      </x:c>
      <x:c r="H133" s="6" t="str">
        <x:v>M3-STITCH</x:v>
      </x:c>
      <x:c r="I133" s="6" t="str">
        <x:v>generate, export, physical_qc</x:v>
      </x:c>
      <x:c r="J133" s="6" t="str">
        <x:v>Explicit forward/back/forward topology and bounded repeated penetrations.</x:v>
      </x:c>
      <x:c r="K133" s="6" t="str">
        <x:v>U1, B2, B9</x:v>
      </x:c>
      <x:c r="L133" s="6" t="str">
        <x:v>https://support.brother.com/g/s/hf/htmldoc/ped/im/ped11/en/PED11_EN/pages/04_2106044.html</x:v>
      </x:c>
      <x:c r="M133" s="6" t="str"/>
    </x:row>
    <x:row r="134" ht="72" customHeight="1">
      <x:c r="A134" s="6" t="str">
        <x:v>L04</x:v>
      </x:c>
      <x:c r="B134" s="6" t="str">
        <x:v>Line stitch families</x:v>
      </x:c>
      <x:c r="C134" s="6" t="str">
        <x:v>Motif</x:v>
      </x:c>
      <x:c r="D134" s="6" t="str">
        <x:v>user_feature</x:v>
      </x:c>
      <x:c r="E134" s="6" t="str">
        <x:v>PLANNED</x:v>
      </x:c>
      <x:c r="F134" s="6" t="str">
        <x:v>NOT_RUN</x:v>
      </x:c>
      <x:c r="G134" s="6" t="str">
        <x:v>Rust stitch engineering</x:v>
      </x:c>
      <x:c r="H134" s="6" t="str">
        <x:v>M3-STITCH</x:v>
      </x:c>
      <x:c r="I134" s="6" t="str">
        <x:v>generate, export, physical_qc</x:v>
      </x:c>
      <x:c r="J134" s="6" t="str">
        <x:v>Parametric motif placement with curvature, endpoint and connection rules.</x:v>
      </x:c>
      <x:c r="K134" s="6" t="str">
        <x:v>U1, B2, B9</x:v>
      </x:c>
      <x:c r="L134" s="6" t="str">
        <x:v>https://support.brother.com/g/s/hf/htmldoc/ped/im/ped11/en/PED11_EN/pages/04_2106044.html</x:v>
      </x:c>
      <x:c r="M134" s="6" t="str"/>
    </x:row>
    <x:row r="135" ht="72" customHeight="1">
      <x:c r="A135" s="6" t="str">
        <x:v>L05</x:v>
      </x:c>
      <x:c r="B135" s="6" t="str">
        <x:v>Line stitch families</x:v>
      </x:c>
      <x:c r="C135" s="6" t="str">
        <x:v>Stem</x:v>
      </x:c>
      <x:c r="D135" s="6" t="str">
        <x:v>user_feature</x:v>
      </x:c>
      <x:c r="E135" s="6" t="str">
        <x:v>PLANNED</x:v>
      </x:c>
      <x:c r="F135" s="6" t="str">
        <x:v>NOT_RUN</x:v>
      </x:c>
      <x:c r="G135" s="6" t="str">
        <x:v>Rust stitch engineering</x:v>
      </x:c>
      <x:c r="H135" s="6" t="str">
        <x:v>M3-STITCH</x:v>
      </x:c>
      <x:c r="I135" s="6" t="str">
        <x:v>generate, export, physical_qc</x:v>
      </x:c>
      <x:c r="J135" s="6" t="str">
        <x:v>Overlapping angled segments with phase, width and endpoint controls.</x:v>
      </x:c>
      <x:c r="K135" s="6" t="str">
        <x:v>U1, B2, B9</x:v>
      </x:c>
      <x:c r="L135" s="6" t="str">
        <x:v>https://support.brother.com/g/s/hf/htmldoc/ped/im/ped11/en/PED11_EN/pages/04_2106044.html</x:v>
      </x:c>
      <x:c r="M135" s="6" t="str"/>
    </x:row>
    <x:row r="136" ht="72" customHeight="1">
      <x:c r="A136" s="6" t="str">
        <x:v>L06</x:v>
      </x:c>
      <x:c r="B136" s="6" t="str">
        <x:v>Line stitch families</x:v>
      </x:c>
      <x:c r="C136" s="6" t="str">
        <x:v>Candlewicking</x:v>
      </x:c>
      <x:c r="D136" s="6" t="str">
        <x:v>user_feature</x:v>
      </x:c>
      <x:c r="E136" s="6" t="str">
        <x:v>PLANNED</x:v>
      </x:c>
      <x:c r="F136" s="6" t="str">
        <x:v>NOT_RUN</x:v>
      </x:c>
      <x:c r="G136" s="6" t="str">
        <x:v>Rust stitch engineering</x:v>
      </x:c>
      <x:c r="H136" s="6" t="str">
        <x:v>M3-STITCH</x:v>
      </x:c>
      <x:c r="I136" s="6" t="str">
        <x:v>generate, export, physical_qc</x:v>
      </x:c>
      <x:c r="J136" s="6" t="str">
        <x:v>Editable knot-like motif placement; distinguish appearance from hand-stitched knots.</x:v>
      </x:c>
      <x:c r="K136" s="6" t="str">
        <x:v>U1, B2, B9</x:v>
      </x:c>
      <x:c r="L136" s="6" t="str">
        <x:v>https://support.brother.com/g/s/hf/htmldoc/ped/im/ped11/en/PED11_EN/pages/04_2106044.html</x:v>
      </x:c>
      <x:c r="M136" s="6" t="str"/>
    </x:row>
    <x:row r="137" ht="72" customHeight="1">
      <x:c r="A137" s="6" t="str">
        <x:v>L07</x:v>
      </x:c>
      <x:c r="B137" s="6" t="str">
        <x:v>Line stitch families</x:v>
      </x:c>
      <x:c r="C137" s="6" t="str">
        <x:v>E/V</x:v>
      </x:c>
      <x:c r="D137" s="6" t="str">
        <x:v>user_feature</x:v>
      </x:c>
      <x:c r="E137" s="6" t="str">
        <x:v>PLANNED</x:v>
      </x:c>
      <x:c r="F137" s="6" t="str">
        <x:v>NOT_RUN</x:v>
      </x:c>
      <x:c r="G137" s="6" t="str">
        <x:v>Rust stitch engineering</x:v>
      </x:c>
      <x:c r="H137" s="6" t="str">
        <x:v>M3-STITCH</x:v>
      </x:c>
      <x:c r="I137" s="6" t="str">
        <x:v>generate, export, physical_qc</x:v>
      </x:c>
      <x:c r="J137" s="6" t="str">
        <x:v>Two variants with explicit leg, stem, spacing and repeat parameters.</x:v>
      </x:c>
      <x:c r="K137" s="6" t="str">
        <x:v>U1, B2, B9</x:v>
      </x:c>
      <x:c r="L137" s="6" t="str">
        <x:v>https://support.brother.com/g/s/hf/htmldoc/ped/im/ped11/en/PED11_EN/pages/04_2106044.html</x:v>
      </x:c>
      <x:c r="M137" s="6" t="str"/>
    </x:row>
    <x:row r="138" ht="72" customHeight="1">
      <x:c r="A138" s="6" t="str">
        <x:v>L08</x:v>
      </x:c>
      <x:c r="B138" s="6" t="str">
        <x:v>Line stitch families</x:v>
      </x:c>
      <x:c r="C138" s="6" t="str">
        <x:v>Chain</x:v>
      </x:c>
      <x:c r="D138" s="6" t="str">
        <x:v>user_feature</x:v>
      </x:c>
      <x:c r="E138" s="6" t="str">
        <x:v>PLANNED</x:v>
      </x:c>
      <x:c r="F138" s="6" t="str">
        <x:v>NOT_RUN</x:v>
      </x:c>
      <x:c r="G138" s="6" t="str">
        <x:v>Rust stitch engineering</x:v>
      </x:c>
      <x:c r="H138" s="6" t="str">
        <x:v>M3-STITCH</x:v>
      </x:c>
      <x:c r="I138" s="6" t="str">
        <x:v>generate, export, physical_qc</x:v>
      </x:c>
      <x:c r="J138" s="6" t="str">
        <x:v>Decorative chain-shaped embroidery path; true chain-stitch hardware is a separate capability.</x:v>
      </x:c>
      <x:c r="K138" s="6" t="str">
        <x:v>U1, B2, B9</x:v>
      </x:c>
      <x:c r="L138" s="6" t="str">
        <x:v>https://support.brother.com/g/s/hf/htmldoc/ped/im/ped11/en/PED11_EN/pages/04_2106044.html</x:v>
      </x:c>
      <x:c r="M138" s="6" t="str"/>
    </x:row>
    <x:row r="139" ht="72" customHeight="1">
      <x:c r="A139" s="6" t="str">
        <x:v>L09</x:v>
      </x:c>
      <x:c r="B139" s="6" t="str">
        <x:v>Line stitch families</x:v>
      </x:c>
      <x:c r="C139" s="6" t="str">
        <x:v>Cutting</x:v>
      </x:c>
      <x:c r="D139" s="6" t="str">
        <x:v>user_feature</x:v>
      </x:c>
      <x:c r="E139" s="6" t="str">
        <x:v>PLANNED</x:v>
      </x:c>
      <x:c r="F139" s="6" t="str">
        <x:v>NOT_RUN</x:v>
      </x:c>
      <x:c r="G139" s="6" t="str">
        <x:v>Rust stitch engineering</x:v>
      </x:c>
      <x:c r="H139" s="6" t="str">
        <x:v>M5-COMPOSITE</x:v>
      </x:c>
      <x:c r="I139" s="6" t="str">
        <x:v>generate, export, physical_qc</x:v>
      </x:c>
      <x:c r="J139" s="6" t="str">
        <x:v>Typed cutting/tool operation; never substitute a running stitch for physical cutting.</x:v>
      </x:c>
      <x:c r="K139" s="6" t="str">
        <x:v>U1, B2, B9</x:v>
      </x:c>
      <x:c r="L139" s="6" t="str">
        <x:v>https://support.brother.com/g/s/hf/htmldoc/ped/im/ped11/en/PED11_EN/pages/04_2106044.html</x:v>
      </x:c>
      <x:c r="M139" s="6" t="str"/>
    </x:row>
    <x:row r="140" ht="72" customHeight="1">
      <x:c r="A140" s="6" t="str">
        <x:v>S01</x:v>
      </x:c>
      <x:c r="B140" s="6" t="str">
        <x:v>Region stitch families</x:v>
      </x:c>
      <x:c r="C140" s="6" t="str">
        <x:v>Satin</x:v>
      </x:c>
      <x:c r="D140" s="6" t="str">
        <x:v>user_feature</x:v>
      </x:c>
      <x:c r="E140" s="6" t="str">
        <x:v>LIBRARY_SUBSET</x:v>
      </x:c>
      <x:c r="F140" s="6" t="str">
        <x:v>NOT_RUN</x:v>
      </x:c>
      <x:c r="G140" s="6" t="str">
        <x:v>Rust stitch engineering</x:v>
      </x:c>
      <x:c r="H140" s="6" t="str">
        <x:v>M3-STITCH</x:v>
      </x:c>
      <x:c r="I140" s="6" t="str">
        <x:v>generate, export, physical_qc</x:v>
      </x:c>
      <x:c r="J140" s="6" t="str">
        <x:v>Constrained current centreline satin must expand to supported shapes and corner strategies.</x:v>
      </x:c>
      <x:c r="K140" s="6" t="str">
        <x:v>U1, B2</x:v>
      </x:c>
      <x:c r="L140" s="6" t="str">
        <x:v>https://support.brother.com/g/s/hf/htmldoc/ped/im/ped11/en/PED11_EN/pages/04_2106044.html</x:v>
      </x:c>
      <x:c r="M140" s="6" t="str">
        <x:v>Core library subset only, not general shape coverage or production quality.</x:v>
      </x:c>
    </x:row>
    <x:row r="141" ht="72" customHeight="1">
      <x:c r="A141" s="6" t="str">
        <x:v>S02</x:v>
      </x:c>
      <x:c r="B141" s="6" t="str">
        <x:v>Region stitch families</x:v>
      </x:c>
      <x:c r="C141" s="6" t="str">
        <x:v>Fill</x:v>
      </x:c>
      <x:c r="D141" s="6" t="str">
        <x:v>user_feature</x:v>
      </x:c>
      <x:c r="E141" s="6" t="str">
        <x:v>LIBRARY_SUBSET</x:v>
      </x:c>
      <x:c r="F141" s="6" t="str">
        <x:v>NOT_RUN</x:v>
      </x:c>
      <x:c r="G141" s="6" t="str">
        <x:v>Rust stitch engineering</x:v>
      </x:c>
      <x:c r="H141" s="6" t="str">
        <x:v>M3-STITCH</x:v>
      </x:c>
      <x:c r="I141" s="6" t="str">
        <x:v>generate, export, physical_qc</x:v>
      </x:c>
      <x:c r="J141" s="6" t="str">
        <x:v>Extend single-ring scanline fill with robust topology and explicit stitch strategies.</x:v>
      </x:c>
      <x:c r="K141" s="6" t="str">
        <x:v>U1, B2</x:v>
      </x:c>
      <x:c r="L141" s="6" t="str">
        <x:v>https://support.brother.com/g/s/hf/htmldoc/ped/im/ped11/en/PED11_EN/pages/04_2106044.html</x:v>
      </x:c>
      <x:c r="M141" s="6" t="str">
        <x:v>Core library subset only, not general shape coverage or production quality.</x:v>
      </x:c>
    </x:row>
    <x:row r="142" ht="72" customHeight="1">
      <x:c r="A142" s="6" t="str">
        <x:v>S03</x:v>
      </x:c>
      <x:c r="B142" s="6" t="str">
        <x:v>Region stitch families</x:v>
      </x:c>
      <x:c r="C142" s="6" t="str">
        <x:v>Programmable fill</x:v>
      </x:c>
      <x:c r="D142" s="6" t="str">
        <x:v>user_feature</x:v>
      </x:c>
      <x:c r="E142" s="6" t="str">
        <x:v>PLANNED</x:v>
      </x:c>
      <x:c r="F142" s="6" t="str">
        <x:v>NOT_RUN</x:v>
      </x:c>
      <x:c r="G142" s="6" t="str">
        <x:v>Rust stitch engineering</x:v>
      </x:c>
      <x:c r="H142" s="6" t="str">
        <x:v>M5-QUILTING</x:v>
      </x:c>
      <x:c r="I142" s="6" t="str">
        <x:v>generate, export, physical_qc</x:v>
      </x:c>
      <x:c r="J142" s="6" t="str">
        <x:v>Editable repeated fill cell with deterministic lattice and clipping.</x:v>
      </x:c>
      <x:c r="K142" s="6" t="str">
        <x:v>U1, B2</x:v>
      </x:c>
      <x:c r="L142" s="6" t="str">
        <x:v>https://support.brother.com/g/s/hf/htmldoc/ped/im/ped11/en/PED11_EN/pages/04_2106044.html</x:v>
      </x:c>
      <x:c r="M142" s="6" t="str"/>
    </x:row>
    <x:row r="143" ht="72" customHeight="1">
      <x:c r="A143" s="6" t="str">
        <x:v>S04</x:v>
      </x:c>
      <x:c r="B143" s="6" t="str">
        <x:v>Region stitch families</x:v>
      </x:c>
      <x:c r="C143" s="6" t="str">
        <x:v>Motif</x:v>
      </x:c>
      <x:c r="D143" s="6" t="str">
        <x:v>user_feature</x:v>
      </x:c>
      <x:c r="E143" s="6" t="str">
        <x:v>PLANNED</x:v>
      </x:c>
      <x:c r="F143" s="6" t="str">
        <x:v>NOT_RUN</x:v>
      </x:c>
      <x:c r="G143" s="6" t="str">
        <x:v>Rust stitch engineering</x:v>
      </x:c>
      <x:c r="H143" s="6" t="str">
        <x:v>M5-QUILTING</x:v>
      </x:c>
      <x:c r="I143" s="6" t="str">
        <x:v>generate, export, physical_qc</x:v>
      </x:c>
      <x:c r="J143" s="6" t="str">
        <x:v>Region motif lattice with partial-cell and island handling.</x:v>
      </x:c>
      <x:c r="K143" s="6" t="str">
        <x:v>U1, B2</x:v>
      </x:c>
      <x:c r="L143" s="6" t="str">
        <x:v>https://support.brother.com/g/s/hf/htmldoc/ped/im/ped11/en/PED11_EN/pages/04_2106044.html</x:v>
      </x:c>
      <x:c r="M143" s="6" t="str"/>
    </x:row>
    <x:row r="144" ht="72" customHeight="1">
      <x:c r="A144" s="6" t="str">
        <x:v>S05</x:v>
      </x:c>
      <x:c r="B144" s="6" t="str">
        <x:v>Region stitch families</x:v>
      </x:c>
      <x:c r="C144" s="6" t="str">
        <x:v>Piping</x:v>
      </x:c>
      <x:c r="D144" s="6" t="str">
        <x:v>user_feature</x:v>
      </x:c>
      <x:c r="E144" s="6" t="str">
        <x:v>PLANNED</x:v>
      </x:c>
      <x:c r="F144" s="6" t="str">
        <x:v>NOT_RUN</x:v>
      </x:c>
      <x:c r="G144" s="6" t="str">
        <x:v>Rust stitch engineering</x:v>
      </x:c>
      <x:c r="H144" s="6" t="str">
        <x:v>M5-QUILTING</x:v>
      </x:c>
      <x:c r="I144" s="6" t="str">
        <x:v>generate, export, physical_qc</x:v>
      </x:c>
      <x:c r="J144" s="6" t="str">
        <x:v>Define intended piping-style stitch topology and material assumptions; visual label alone is insufficient.</x:v>
      </x:c>
      <x:c r="K144" s="6" t="str">
        <x:v>U1, B2</x:v>
      </x:c>
      <x:c r="L144" s="6" t="str">
        <x:v>https://support.brother.com/g/s/hf/htmldoc/ped/im/ped11/en/PED11_EN/pages/04_2106044.html</x:v>
      </x:c>
      <x:c r="M144" s="6" t="str"/>
    </x:row>
    <x:row r="145" ht="72" customHeight="1">
      <x:c r="A145" s="6" t="str">
        <x:v>S06</x:v>
      </x:c>
      <x:c r="B145" s="6" t="str">
        <x:v>Region stitch families</x:v>
      </x:c>
      <x:c r="C145" s="6" t="str">
        <x:v>Cross Stitch</x:v>
      </x:c>
      <x:c r="D145" s="6" t="str">
        <x:v>user_feature</x:v>
      </x:c>
      <x:c r="E145" s="6" t="str">
        <x:v>PLANNED</x:v>
      </x:c>
      <x:c r="F145" s="6" t="str">
        <x:v>NOT_RUN</x:v>
      </x:c>
      <x:c r="G145" s="6" t="str">
        <x:v>Rust stitch engineering</x:v>
      </x:c>
      <x:c r="H145" s="6" t="str">
        <x:v>M5-QUILTING</x:v>
      </x:c>
      <x:c r="I145" s="6" t="str">
        <x:v>generate, export, physical_qc</x:v>
      </x:c>
      <x:c r="J145" s="6" t="str">
        <x:v>Grid size, full/partial crosses, colour groups and sequence constraints.</x:v>
      </x:c>
      <x:c r="K145" s="6" t="str">
        <x:v>U1, B2</x:v>
      </x:c>
      <x:c r="L145" s="6" t="str">
        <x:v>https://support.brother.com/g/s/hf/htmldoc/ped/im/ped11/en/PED11_EN/pages/04_2106044.html</x:v>
      </x:c>
      <x:c r="M145" s="6" t="str"/>
    </x:row>
    <x:row r="146" ht="72" customHeight="1">
      <x:c r="A146" s="6" t="str">
        <x:v>S07</x:v>
      </x:c>
      <x:c r="B146" s="6" t="str">
        <x:v>Region stitch families</x:v>
      </x:c>
      <x:c r="C146" s="6" t="str">
        <x:v>Concentric Circle</x:v>
      </x:c>
      <x:c r="D146" s="6" t="str">
        <x:v>user_feature</x:v>
      </x:c>
      <x:c r="E146" s="6" t="str">
        <x:v>PLANNED</x:v>
      </x:c>
      <x:c r="F146" s="6" t="str">
        <x:v>NOT_RUN</x:v>
      </x:c>
      <x:c r="G146" s="6" t="str">
        <x:v>Rust stitch engineering</x:v>
      </x:c>
      <x:c r="H146" s="6" t="str">
        <x:v>M5-QUILTING</x:v>
      </x:c>
      <x:c r="I146" s="6" t="str">
        <x:v>generate, export, physical_qc</x:v>
      </x:c>
      <x:c r="J146" s="6" t="str">
        <x:v>Inset concentric paths with centre/collapse policy.</x:v>
      </x:c>
      <x:c r="K146" s="6" t="str">
        <x:v>U1, B2</x:v>
      </x:c>
      <x:c r="L146" s="6" t="str">
        <x:v>https://support.brother.com/g/s/hf/htmldoc/ped/im/ped11/en/PED11_EN/pages/04_2106044.html</x:v>
      </x:c>
      <x:c r="M146" s="6" t="str"/>
    </x:row>
    <x:row r="147" ht="72" customHeight="1">
      <x:c r="A147" s="6" t="str">
        <x:v>S08</x:v>
      </x:c>
      <x:c r="B147" s="6" t="str">
        <x:v>Region stitch families</x:v>
      </x:c>
      <x:c r="C147" s="6" t="str">
        <x:v>Radial</x:v>
      </x:c>
      <x:c r="D147" s="6" t="str">
        <x:v>user_feature</x:v>
      </x:c>
      <x:c r="E147" s="6" t="str">
        <x:v>PLANNED</x:v>
      </x:c>
      <x:c r="F147" s="6" t="str">
        <x:v>NOT_RUN</x:v>
      </x:c>
      <x:c r="G147" s="6" t="str">
        <x:v>Rust stitch engineering</x:v>
      </x:c>
      <x:c r="H147" s="6" t="str">
        <x:v>M5-QUILTING</x:v>
      </x:c>
      <x:c r="I147" s="6" t="str">
        <x:v>generate, export, physical_qc</x:v>
      </x:c>
      <x:c r="J147" s="6" t="str">
        <x:v>Angular/radial field with singularity handling and density bounds.</x:v>
      </x:c>
      <x:c r="K147" s="6" t="str">
        <x:v>U1, B2</x:v>
      </x:c>
      <x:c r="L147" s="6" t="str">
        <x:v>https://support.brother.com/g/s/hf/htmldoc/ped/im/ped11/en/PED11_EN/pages/04_2106044.html</x:v>
      </x:c>
      <x:c r="M147" s="6" t="str"/>
    </x:row>
    <x:row r="148" ht="72" customHeight="1">
      <x:c r="A148" s="6" t="str">
        <x:v>S09</x:v>
      </x:c>
      <x:c r="B148" s="6" t="str">
        <x:v>Region stitch families</x:v>
      </x:c>
      <x:c r="C148" s="6" t="str">
        <x:v>Spiral</x:v>
      </x:c>
      <x:c r="D148" s="6" t="str">
        <x:v>user_feature</x:v>
      </x:c>
      <x:c r="E148" s="6" t="str">
        <x:v>PLANNED</x:v>
      </x:c>
      <x:c r="F148" s="6" t="str">
        <x:v>NOT_RUN</x:v>
      </x:c>
      <x:c r="G148" s="6" t="str">
        <x:v>Rust stitch engineering</x:v>
      </x:c>
      <x:c r="H148" s="6" t="str">
        <x:v>M5-QUILTING</x:v>
      </x:c>
      <x:c r="I148" s="6" t="str">
        <x:v>generate, export, physical_qc</x:v>
      </x:c>
      <x:c r="J148" s="6" t="str">
        <x:v>Parametric spiral with pitch and connector controls.</x:v>
      </x:c>
      <x:c r="K148" s="6" t="str">
        <x:v>U1, B2</x:v>
      </x:c>
      <x:c r="L148" s="6" t="str">
        <x:v>https://support.brother.com/g/s/hf/htmldoc/ped/im/ped11/en/PED11_EN/pages/04_2106044.html</x:v>
      </x:c>
      <x:c r="M148" s="6" t="str"/>
    </x:row>
    <x:row r="149" ht="72" customHeight="1">
      <x:c r="A149" s="6" t="str">
        <x:v>S10</x:v>
      </x:c>
      <x:c r="B149" s="6" t="str">
        <x:v>Region stitch families</x:v>
      </x:c>
      <x:c r="C149" s="6" t="str">
        <x:v>Flexible Spiral</x:v>
      </x:c>
      <x:c r="D149" s="6" t="str">
        <x:v>user_feature</x:v>
      </x:c>
      <x:c r="E149" s="6" t="str">
        <x:v>PLANNED</x:v>
      </x:c>
      <x:c r="F149" s="6" t="str">
        <x:v>NOT_RUN</x:v>
      </x:c>
      <x:c r="G149" s="6" t="str">
        <x:v>Rust stitch engineering</x:v>
      </x:c>
      <x:c r="H149" s="6" t="str">
        <x:v>M5-QUILTING</x:v>
      </x:c>
      <x:c r="I149" s="6" t="str">
        <x:v>generate, export, physical_qc</x:v>
      </x:c>
      <x:c r="J149" s="6" t="str">
        <x:v>Shape-adapted spiral preserving clearances and travel policy.</x:v>
      </x:c>
      <x:c r="K149" s="6" t="str">
        <x:v>U1, B2</x:v>
      </x:c>
      <x:c r="L149" s="6" t="str">
        <x:v>https://support.brother.com/g/s/hf/htmldoc/ped/im/ped11/en/PED11_EN/pages/04_2106044.html</x:v>
      </x:c>
      <x:c r="M149" s="6" t="str"/>
    </x:row>
    <x:row r="150" ht="72" customHeight="1">
      <x:c r="A150" s="6" t="str">
        <x:v>S11</x:v>
      </x:c>
      <x:c r="B150" s="6" t="str">
        <x:v>Region stitch families</x:v>
      </x:c>
      <x:c r="C150" s="6" t="str">
        <x:v>Stippling</x:v>
      </x:c>
      <x:c r="D150" s="6" t="str">
        <x:v>user_feature</x:v>
      </x:c>
      <x:c r="E150" s="6" t="str">
        <x:v>PLANNED</x:v>
      </x:c>
      <x:c r="F150" s="6" t="str">
        <x:v>NOT_RUN</x:v>
      </x:c>
      <x:c r="G150" s="6" t="str">
        <x:v>Rust stitch engineering</x:v>
      </x:c>
      <x:c r="H150" s="6" t="str">
        <x:v>M5-QUILTING</x:v>
      </x:c>
      <x:c r="I150" s="6" t="str">
        <x:v>generate, export, physical_qc</x:v>
      </x:c>
      <x:c r="J150" s="6" t="str">
        <x:v>Deterministic seeded meander with clearance, curvature and optional no-crossing constraints.</x:v>
      </x:c>
      <x:c r="K150" s="6" t="str">
        <x:v>U1, B2</x:v>
      </x:c>
      <x:c r="L150" s="6" t="str">
        <x:v>https://support.brother.com/g/s/hf/htmldoc/ped/im/ped11/en/PED11_EN/pages/04_2106044.html</x:v>
      </x:c>
      <x:c r="M150" s="6" t="str"/>
    </x:row>
    <x:row r="151" ht="72" customHeight="1">
      <x:c r="A151" s="6" t="str">
        <x:v>S12</x:v>
      </x:c>
      <x:c r="B151" s="6" t="str">
        <x:v>Region stitch families</x:v>
      </x:c>
      <x:c r="C151" s="6" t="str">
        <x:v>Net Fill</x:v>
      </x:c>
      <x:c r="D151" s="6" t="str">
        <x:v>user_feature</x:v>
      </x:c>
      <x:c r="E151" s="6" t="str">
        <x:v>PLANNED</x:v>
      </x:c>
      <x:c r="F151" s="6" t="str">
        <x:v>NOT_RUN</x:v>
      </x:c>
      <x:c r="G151" s="6" t="str">
        <x:v>Rust stitch engineering</x:v>
      </x:c>
      <x:c r="H151" s="6" t="str">
        <x:v>M5-QUILTING</x:v>
      </x:c>
      <x:c r="I151" s="6" t="str">
        <x:v>generate, export, physical_qc</x:v>
      </x:c>
      <x:c r="J151" s="6" t="str">
        <x:v>Open mesh coverage with intersection and support rules.</x:v>
      </x:c>
      <x:c r="K151" s="6" t="str">
        <x:v>U1, B2</x:v>
      </x:c>
      <x:c r="L151" s="6" t="str">
        <x:v>https://support.brother.com/g/s/hf/htmldoc/ped/im/ped11/en/PED11_EN/pages/04_2106044.html</x:v>
      </x:c>
      <x:c r="M151" s="6" t="str"/>
    </x:row>
    <x:row r="152" ht="72" customHeight="1">
      <x:c r="A152" s="6" t="str">
        <x:v>S13</x:v>
      </x:c>
      <x:c r="B152" s="6" t="str">
        <x:v>Region stitch families</x:v>
      </x:c>
      <x:c r="C152" s="6" t="str">
        <x:v>Zigzag Net Fill</x:v>
      </x:c>
      <x:c r="D152" s="6" t="str">
        <x:v>user_feature</x:v>
      </x:c>
      <x:c r="E152" s="6" t="str">
        <x:v>PLANNED</x:v>
      </x:c>
      <x:c r="F152" s="6" t="str">
        <x:v>NOT_RUN</x:v>
      </x:c>
      <x:c r="G152" s="6" t="str">
        <x:v>Rust stitch engineering</x:v>
      </x:c>
      <x:c r="H152" s="6" t="str">
        <x:v>M5-QUILTING</x:v>
      </x:c>
      <x:c r="I152" s="6" t="str">
        <x:v>generate, export, physical_qc</x:v>
      </x:c>
      <x:c r="J152" s="6" t="str">
        <x:v>Net arms with zigzag topology and bounded intersection density.</x:v>
      </x:c>
      <x:c r="K152" s="6" t="str">
        <x:v>U1, B2</x:v>
      </x:c>
      <x:c r="L152" s="6" t="str">
        <x:v>https://support.brother.com/g/s/hf/htmldoc/ped/im/ped11/en/PED11_EN/pages/04_2106044.html</x:v>
      </x:c>
      <x:c r="M152" s="6" t="str"/>
    </x:row>
    <x:row r="153" ht="72" customHeight="1">
      <x:c r="A153" s="6" t="str">
        <x:v>S14</x:v>
      </x:c>
      <x:c r="B153" s="6" t="str">
        <x:v>Region stitch families</x:v>
      </x:c>
      <x:c r="C153" s="6" t="str">
        <x:v>Decorative Fill</x:v>
      </x:c>
      <x:c r="D153" s="6" t="str">
        <x:v>user_feature</x:v>
      </x:c>
      <x:c r="E153" s="6" t="str">
        <x:v>PLANNED</x:v>
      </x:c>
      <x:c r="F153" s="6" t="str">
        <x:v>NOT_RUN</x:v>
      </x:c>
      <x:c r="G153" s="6" t="str">
        <x:v>Rust stitch engineering</x:v>
      </x:c>
      <x:c r="H153" s="6" t="str">
        <x:v>M5-QUILTING</x:v>
      </x:c>
      <x:c r="I153" s="6" t="str">
        <x:v>generate, export, physical_qc</x:v>
      </x:c>
      <x:c r="J153" s="6" t="str">
        <x:v>Authorable repeating pattern with clipping, offsets and join rules.</x:v>
      </x:c>
      <x:c r="K153" s="6" t="str">
        <x:v>U1, B2</x:v>
      </x:c>
      <x:c r="L153" s="6" t="str">
        <x:v>https://support.brother.com/g/s/hf/htmldoc/ped/im/ped11/en/PED11_EN/pages/04_2106044.html</x:v>
      </x:c>
      <x:c r="M153" s="6" t="str"/>
    </x:row>
    <x:row r="154" ht="72" customHeight="1">
      <x:c r="A154" s="6" t="str">
        <x:v>Q01</x:v>
      </x:c>
      <x:c r="B154" s="6" t="str">
        <x:v>Quilting and patterns</x:v>
      </x:c>
      <x:c r="C154" s="6" t="str">
        <x:v>Echo fill / background echo quilting</x:v>
      </x:c>
      <x:c r="D154" s="6" t="str">
        <x:v>user_feature</x:v>
      </x:c>
      <x:c r="E154" s="6" t="str">
        <x:v>PLANNED</x:v>
      </x:c>
      <x:c r="F154" s="6" t="str">
        <x:v>NOT_RUN</x:v>
      </x:c>
      <x:c r="G154" s="6" t="str">
        <x:v>pattern and process engineering</x:v>
      </x:c>
      <x:c r="H154" s="6" t="str">
        <x:v>M5-QUILTING</x:v>
      </x:c>
      <x:c r="I154" s="6" t="str">
        <x:v>generate, view, physical_qc</x:v>
      </x:c>
      <x:c r="J154" s="6" t="str">
        <x:v>Create repeated offsets around shapes with protected motifs, clipped boundaries and declared spacing.</x:v>
      </x:c>
      <x:c r="K154" s="6" t="str">
        <x:v>U1, B6, P1</x:v>
      </x:c>
      <x:c r="L154" s="6" t="str">
        <x:v>https://support.brother.com/g/s/hf/ped_info/ped11/new_features/en/ped11_newfeatures.html</x:v>
      </x:c>
      <x:c r="M154" s="6" t="str"/>
    </x:row>
    <x:row r="155" ht="72" customHeight="1">
      <x:c r="A155" s="6" t="str">
        <x:v>Q02</x:v>
      </x:c>
      <x:c r="B155" s="6" t="str">
        <x:v>Quilting and patterns</x:v>
      </x:c>
      <x:c r="C155" s="6" t="str">
        <x:v>Decorative Fill Pattern creator</x:v>
      </x:c>
      <x:c r="D155" s="6" t="str">
        <x:v>user_feature</x:v>
      </x:c>
      <x:c r="E155" s="6" t="str">
        <x:v>PLANNED</x:v>
      </x:c>
      <x:c r="F155" s="6" t="str">
        <x:v>NOT_RUN</x:v>
      </x:c>
      <x:c r="G155" s="6" t="str">
        <x:v>pattern and process engineering</x:v>
      </x:c>
      <x:c r="H155" s="6" t="str">
        <x:v>M5-QUILTING</x:v>
      </x:c>
      <x:c r="I155" s="6" t="str">
        <x:v>generate, view, physical_qc</x:v>
      </x:c>
      <x:c r="J155" s="6" t="str">
        <x:v>Author editable tile motifs for reuse; not just select a static image.</x:v>
      </x:c>
      <x:c r="K155" s="6" t="str">
        <x:v>U1, B6, P1</x:v>
      </x:c>
      <x:c r="L155" s="6" t="str">
        <x:v>https://support.brother.com/g/s/hf/ped_info/ped11/new_features/en/ped11_newfeatures.html</x:v>
      </x:c>
      <x:c r="M155" s="6" t="str"/>
    </x:row>
    <x:row r="156" ht="72" customHeight="1">
      <x:c r="A156" s="6" t="str">
        <x:v>Q03</x:v>
      </x:c>
      <x:c r="B156" s="6" t="str">
        <x:v>Quilting and patterns</x:v>
      </x:c>
      <x:c r="C156" s="6" t="str">
        <x:v>Motif Pattern creator</x:v>
      </x:c>
      <x:c r="D156" s="6" t="str">
        <x:v>user_feature</x:v>
      </x:c>
      <x:c r="E156" s="6" t="str">
        <x:v>PLANNED</x:v>
      </x:c>
      <x:c r="F156" s="6" t="str">
        <x:v>NOT_RUN</x:v>
      </x:c>
      <x:c r="G156" s="6" t="str">
        <x:v>pattern and process engineering</x:v>
      </x:c>
      <x:c r="H156" s="6" t="str">
        <x:v>M5-QUILTING</x:v>
      </x:c>
      <x:c r="I156" s="6" t="str">
        <x:v>generate, view, physical_qc</x:v>
      </x:c>
      <x:c r="J156" s="6" t="str">
        <x:v>Author path motifs and their anchors, joining and repeat behaviours.</x:v>
      </x:c>
      <x:c r="K156" s="6" t="str">
        <x:v>U1, B6, P1</x:v>
      </x:c>
      <x:c r="L156" s="6" t="str">
        <x:v>https://support.brother.com/g/s/hf/ped_info/ped11/new_features/en/ped11_newfeatures.html</x:v>
      </x:c>
      <x:c r="M156" s="6" t="str"/>
    </x:row>
    <x:row r="157" ht="72" customHeight="1">
      <x:c r="A157" s="6" t="str">
        <x:v>Q04</x:v>
      </x:c>
      <x:c r="B157" s="6" t="str">
        <x:v>Quilting and patterns</x:v>
      </x:c>
      <x:c r="C157" s="6" t="str">
        <x:v>Programmable Fill/Stamp Pattern</x:v>
      </x:c>
      <x:c r="D157" s="6" t="str">
        <x:v>user_feature</x:v>
      </x:c>
      <x:c r="E157" s="6" t="str">
        <x:v>PLANNED</x:v>
      </x:c>
      <x:c r="F157" s="6" t="str">
        <x:v>NOT_RUN</x:v>
      </x:c>
      <x:c r="G157" s="6" t="str">
        <x:v>pattern and process engineering</x:v>
      </x:c>
      <x:c r="H157" s="6" t="str">
        <x:v>M5-QUILTING</x:v>
      </x:c>
      <x:c r="I157" s="6" t="str">
        <x:v>generate, view, physical_qc</x:v>
      </x:c>
      <x:c r="J157" s="6" t="str">
        <x:v>Create reusable fill/stamp cells with relief attributes and revision binding.</x:v>
      </x:c>
      <x:c r="K157" s="6" t="str">
        <x:v>U1, B6, P1</x:v>
      </x:c>
      <x:c r="L157" s="6" t="str">
        <x:v>https://support.brother.com/g/s/hf/ped_info/ped11/new_features/en/ped11_newfeatures.html</x:v>
      </x:c>
      <x:c r="M157" s="6" t="str"/>
    </x:row>
    <x:row r="158" ht="72" customHeight="1">
      <x:c r="A158" s="6" t="str">
        <x:v>Q05</x:v>
      </x:c>
      <x:c r="B158" s="6" t="str">
        <x:v>Quilting and patterns</x:v>
      </x:c>
      <x:c r="C158" s="6" t="str">
        <x:v>Round fill stitch</x:v>
      </x:c>
      <x:c r="D158" s="6" t="str">
        <x:v>user_feature</x:v>
      </x:c>
      <x:c r="E158" s="6" t="str">
        <x:v>PLANNED</x:v>
      </x:c>
      <x:c r="F158" s="6" t="str">
        <x:v>NOT_RUN</x:v>
      </x:c>
      <x:c r="G158" s="6" t="str">
        <x:v>pattern and process engineering</x:v>
      </x:c>
      <x:c r="H158" s="6" t="str">
        <x:v>M5-QUILTING</x:v>
      </x:c>
      <x:c r="I158" s="6" t="str">
        <x:v>generate, view, physical_qc</x:v>
      </x:c>
      <x:c r="J158" s="6" t="str">
        <x:v>Retain the source label and map it explicitly to the chosen curved-fill semantics.</x:v>
      </x:c>
      <x:c r="K158" s="6" t="str">
        <x:v>U1, B6, P1</x:v>
      </x:c>
      <x:c r="L158" s="6" t="str">
        <x:v>https://support.brother.com/g/s/hf/ped_info/ped11/new_features/en/ped11_newfeatures.html</x:v>
      </x:c>
      <x:c r="M158" s="6" t="str"/>
    </x:row>
    <x:row r="159" ht="72" customHeight="1">
      <x:c r="A159" s="6" t="str">
        <x:v>Q06</x:v>
      </x:c>
      <x:c r="B159" s="6" t="str">
        <x:v>Quilting and patterns</x:v>
      </x:c>
      <x:c r="C159" s="6" t="str">
        <x:v>Graduation and Colour Blending; mix gradients</x:v>
      </x:c>
      <x:c r="D159" s="6" t="str">
        <x:v>user_feature</x:v>
      </x:c>
      <x:c r="E159" s="6" t="str">
        <x:v>PLANNED</x:v>
      </x:c>
      <x:c r="F159" s="6" t="str">
        <x:v>NOT_RUN</x:v>
      </x:c>
      <x:c r="G159" s="6" t="str">
        <x:v>pattern and process engineering</x:v>
      </x:c>
      <x:c r="H159" s="6" t="str">
        <x:v>M5-QUILTING</x:v>
      </x:c>
      <x:c r="I159" s="6" t="str">
        <x:v>generate, view, physical_qc</x:v>
      </x:c>
      <x:c r="J159" s="6" t="str">
        <x:v>Use bounded stitch-density/layer blending with thread choices, not merely an RGB gradient.</x:v>
      </x:c>
      <x:c r="K159" s="6" t="str">
        <x:v>U1, B6, P1</x:v>
      </x:c>
      <x:c r="L159" s="6" t="str">
        <x:v>https://support.brother.com/g/s/hf/ped_info/ped11/new_features/en/ped11_newfeatures.html</x:v>
      </x:c>
      <x:c r="M159" s="6" t="str"/>
    </x:row>
    <x:row r="160" ht="72" customHeight="1">
      <x:c r="A160" s="6" t="str">
        <x:v>Q07</x:v>
      </x:c>
      <x:c r="B160" s="6" t="str">
        <x:v>Quilting and patterns</x:v>
      </x:c>
      <x:c r="C160" s="6" t="str">
        <x:v>Load/Save Default Setting</x:v>
      </x:c>
      <x:c r="D160" s="6" t="str">
        <x:v>user_feature</x:v>
      </x:c>
      <x:c r="E160" s="6" t="str">
        <x:v>PLANNED</x:v>
      </x:c>
      <x:c r="F160" s="6" t="str">
        <x:v>NOT_RUN</x:v>
      </x:c>
      <x:c r="G160" s="6" t="str">
        <x:v>pattern and process engineering</x:v>
      </x:c>
      <x:c r="H160" s="6" t="str">
        <x:v>M5-QUILTING</x:v>
      </x:c>
      <x:c r="I160" s="6" t="str">
        <x:v>generate, view, physical_qc</x:v>
      </x:c>
      <x:c r="J160" s="6" t="str">
        <x:v>Version per-process/material defaults and record the exact resolved values in each job.</x:v>
      </x:c>
      <x:c r="K160" s="6" t="str">
        <x:v>U1, B6, P1</x:v>
      </x:c>
      <x:c r="L160" s="6" t="str">
        <x:v>https://support.brother.com/g/s/hf/ped_info/ped11/new_features/en/ped11_newfeatures.html</x:v>
      </x:c>
      <x:c r="M160" s="6" t="str"/>
    </x:row>
    <x:row r="161" ht="72" customHeight="1">
      <x:c r="A161" s="6" t="str">
        <x:v>Q08</x:v>
      </x:c>
      <x:c r="B161" s="6" t="str">
        <x:v>Quilting and patterns</x:v>
      </x:c>
      <x:c r="C161" s="6" t="str">
        <x:v>Print and Stitch</x:v>
      </x:c>
      <x:c r="D161" s="6" t="str">
        <x:v>user_feature</x:v>
      </x:c>
      <x:c r="E161" s="6" t="str">
        <x:v>PLANNED</x:v>
      </x:c>
      <x:c r="F161" s="6" t="str">
        <x:v>NOT_RUN</x:v>
      </x:c>
      <x:c r="G161" s="6" t="str">
        <x:v>pattern and process engineering</x:v>
      </x:c>
      <x:c r="H161" s="6" t="str">
        <x:v>M5-QUILTING</x:v>
      </x:c>
      <x:c r="I161" s="6" t="str">
        <x:v>generate, view, physical_qc</x:v>
      </x:c>
      <x:c r="J161" s="6" t="str">
        <x:v>Produce distinct print artwork, placement sheet and embroidery export tied to one registration.</x:v>
      </x:c>
      <x:c r="K161" s="6" t="str">
        <x:v>U1, B6, P1</x:v>
      </x:c>
      <x:c r="L161" s="6" t="str">
        <x:v>https://support.brother.com/g/s/hf/ped_info/ped11/new_features/en/ped11_newfeatures.html</x:v>
      </x:c>
      <x:c r="M161" s="6" t="str"/>
    </x:row>
    <x:row r="162" ht="72" customHeight="1">
      <x:c r="A162" s="6" t="str">
        <x:v>Q09</x:v>
      </x:c>
      <x:c r="B162" s="6" t="str">
        <x:v>Quilting and patterns</x:v>
      </x:c>
      <x:c r="C162" s="6" t="str">
        <x:v>Quilting workspace</x:v>
      </x:c>
      <x:c r="D162" s="6" t="str">
        <x:v>user_feature</x:v>
      </x:c>
      <x:c r="E162" s="6" t="str">
        <x:v>PLANNED</x:v>
      </x:c>
      <x:c r="F162" s="6" t="str">
        <x:v>NOT_RUN</x:v>
      </x:c>
      <x:c r="G162" s="6" t="str">
        <x:v>pattern and process engineering</x:v>
      </x:c>
      <x:c r="H162" s="6" t="str">
        <x:v>M5-QUILTING</x:v>
      </x:c>
      <x:c r="I162" s="6" t="str">
        <x:v>generate, view, physical_qc</x:v>
      </x:c>
      <x:c r="J162" s="6" t="str">
        <x:v>Represent quilt blocks, border repeats, clearances, registration and rehooping.</x:v>
      </x:c>
      <x:c r="K162" s="6" t="str">
        <x:v>U1, B6, P1</x:v>
      </x:c>
      <x:c r="L162" s="6" t="str">
        <x:v>https://support.brother.com/g/s/hf/ped_info/ped11/new_features/en/ped11_newfeatures.html</x:v>
      </x:c>
      <x:c r="M162" s="6" t="str"/>
    </x:row>
    <x:row r="163" ht="72" customHeight="1">
      <x:c r="A163" s="6" t="str">
        <x:v>Q10</x:v>
      </x:c>
      <x:c r="B163" s="6" t="str">
        <x:v>Quilting and patterns</x:v>
      </x:c>
      <x:c r="C163" s="6" t="str">
        <x:v>Underlay and pull compensation (continuity)</x:v>
      </x:c>
      <x:c r="D163" s="6" t="str">
        <x:v>user_feature</x:v>
      </x:c>
      <x:c r="E163" s="6" t="str">
        <x:v>LIBRARY_SUBSET</x:v>
      </x:c>
      <x:c r="F163" s="6" t="str">
        <x:v>NOT_RUN</x:v>
      </x:c>
      <x:c r="G163" s="6" t="str">
        <x:v>pattern and process engineering</x:v>
      </x:c>
      <x:c r="H163" s="6" t="str">
        <x:v>M5-QUILTING</x:v>
      </x:c>
      <x:c r="I163" s="6" t="str">
        <x:v>generate, view, physical_qc</x:v>
      </x:c>
      <x:c r="J163" s="6" t="str">
        <x:v>Expose existing supported underlay/compensation precisely; expand only with documented generator support.</x:v>
      </x:c>
      <x:c r="K163" s="6" t="str">
        <x:v>U1, B6, P1</x:v>
      </x:c>
      <x:c r="L163" s="6" t="str">
        <x:v>https://support.brother.com/g/s/hf/ped_info/ped11/new_features/en/ped11_newfeatures.html</x:v>
      </x:c>
      <x:c r="M163" s="6" t="str"/>
    </x:row>
    <x:row r="164" ht="72" customHeight="1">
      <x:c r="A164" s="6" t="str">
        <x:v>SW01</x:v>
      </x:c>
      <x:c r="B164" s="6" t="str">
        <x:v>Decorative sewing</x:v>
      </x:c>
      <x:c r="C164" s="6" t="str">
        <x:v>Stitch Design Factory: create sewing stitch patterns</x:v>
      </x:c>
      <x:c r="D164" s="6" t="str">
        <x:v>user_feature</x:v>
      </x:c>
      <x:c r="E164" s="6" t="str">
        <x:v>PLANNED</x:v>
      </x:c>
      <x:c r="F164" s="6" t="str">
        <x:v>NOT_RUN</x:v>
      </x:c>
      <x:c r="G164" s="6" t="str">
        <x:v>sewing and adapter engineering</x:v>
      </x:c>
      <x:c r="H164" s="6" t="str">
        <x:v>M7-SEWING</x:v>
      </x:c>
      <x:c r="I164" s="6" t="str">
        <x:v>generate, export</x:v>
      </x:c>
      <x:c r="J164" s="6" t="str">
        <x:v>Build a distinct sewing-pattern editor with needle lateral motion, feed step, repeat and model constraints.</x:v>
      </x:c>
      <x:c r="K164" s="6" t="str">
        <x:v>U1, B3, B7</x:v>
      </x:c>
      <x:c r="L164" s="6" t="str">
        <x:v>https://support.brother.com/g/s/hf/htmldoc/ped/im/ped11/en/PED11.2_EN/pages/14_1207549.html</x:v>
      </x:c>
      <x:c r="M164" s="6" t="str"/>
    </x:row>
    <x:row r="165" ht="72" customHeight="1">
      <x:c r="A165" s="6" t="str">
        <x:v>SW02</x:v>
      </x:c>
      <x:c r="B165" s="6" t="str">
        <x:v>Decorative sewing</x:v>
      </x:c>
      <x:c r="C165" s="6" t="str">
        <x:v>File Export (Sewing Stitch Pattern)</x:v>
      </x:c>
      <x:c r="D165" s="6" t="str">
        <x:v>user_feature</x:v>
      </x:c>
      <x:c r="E165" s="6" t="str">
        <x:v>PLANNED</x:v>
      </x:c>
      <x:c r="F165" s="6" t="str">
        <x:v>NOT_RUN</x:v>
      </x:c>
      <x:c r="G165" s="6" t="str">
        <x:v>sewing and adapter engineering</x:v>
      </x:c>
      <x:c r="H165" s="6" t="str">
        <x:v>M7-SEWING</x:v>
      </x:c>
      <x:c r="I165" s="6" t="str">
        <x:v>generate, export</x:v>
      </x:c>
      <x:c r="J165" s="6" t="str">
        <x:v>Use a separately qualified decorative-sewing exporter; candidate vendor formats are not automatically supported.</x:v>
      </x:c>
      <x:c r="K165" s="6" t="str">
        <x:v>U1, B3, B7</x:v>
      </x:c>
      <x:c r="L165" s="6" t="str">
        <x:v>https://support.brother.com/g/s/hf/htmldoc/ped/im/ped11/en/PED11.2_EN/pages/14_1207549.html</x:v>
      </x:c>
      <x:c r="M165" s="6" t="str"/>
    </x:row>
    <x:row r="166" ht="72" customHeight="1">
      <x:c r="A166" s="6" t="str">
        <x:v>SW03</x:v>
      </x:c>
      <x:c r="B166" s="6" t="str">
        <x:v>Decorative sewing</x:v>
      </x:c>
      <x:c r="C166" s="6" t="str">
        <x:v>Wireless Export (Sewing stitch pattern)</x:v>
      </x:c>
      <x:c r="D166" s="6" t="str">
        <x:v>user_feature</x:v>
      </x:c>
      <x:c r="E166" s="6" t="str">
        <x:v>PLANNED</x:v>
      </x:c>
      <x:c r="F166" s="6" t="str">
        <x:v>NOT_RUN</x:v>
      </x:c>
      <x:c r="G166" s="6" t="str">
        <x:v>sewing and adapter engineering</x:v>
      </x:c>
      <x:c r="H166" s="6" t="str">
        <x:v>M7-SEWING</x:v>
      </x:c>
      <x:c r="I166" s="6" t="str">
        <x:v>generate, export, transfer, physical_qc</x:v>
      </x:c>
      <x:c r="J166" s="6" t="str">
        <x:v>Use an independently qualified sewing-pattern transfer route and record receipt separately from execution.</x:v>
      </x:c>
      <x:c r="K166" s="6" t="str">
        <x:v>U1, B3, B7</x:v>
      </x:c>
      <x:c r="L166" s="6" t="str">
        <x:v>https://support.brother.com/g/s/hf/htmldoc/ped/im/ped11/en/PED11.2_EN/pages/14_1207549.html</x:v>
      </x:c>
      <x:c r="M166" s="6" t="str"/>
    </x:row>
    <x:row r="167" ht="72" customHeight="1">
      <x:c r="A167" s="6" t="str">
        <x:v>SW04</x:v>
      </x:c>
      <x:c r="B167" s="6" t="str">
        <x:v>Decorative sewing</x:v>
      </x:c>
      <x:c r="C167" s="6" t="str">
        <x:v>Sewing-pattern simulation</x:v>
      </x:c>
      <x:c r="D167" s="6" t="str">
        <x:v>user_feature</x:v>
      </x:c>
      <x:c r="E167" s="6" t="str">
        <x:v>PLANNED</x:v>
      </x:c>
      <x:c r="F167" s="6" t="str">
        <x:v>NOT_RUN</x:v>
      </x:c>
      <x:c r="G167" s="6" t="str">
        <x:v>sewing and adapter engineering</x:v>
      </x:c>
      <x:c r="H167" s="6" t="str">
        <x:v>M7-SEWING</x:v>
      </x:c>
      <x:c r="I167" s="6" t="str">
        <x:v>generate, export</x:v>
      </x:c>
      <x:c r="J167" s="6" t="str">
        <x:v>Show a feed/needle-pattern rig rather than reusing the XY embroidery-hoop mechanism.</x:v>
      </x:c>
      <x:c r="K167" s="6" t="str">
        <x:v>U1, B3, B7</x:v>
      </x:c>
      <x:c r="L167" s="6" t="str">
        <x:v>https://support.brother.com/g/s/hf/htmldoc/ped/im/ped11/en/PED11.2_EN/pages/14_1207549.html</x:v>
      </x:c>
      <x:c r="M167" s="6" t="str"/>
    </x:row>
    <x:row r="168" ht="72" customHeight="1">
      <x:c r="A168" s="6" t="str">
        <x:v>T01</x:v>
      </x:c>
      <x:c r="B168" s="6" t="str">
        <x:v>Production and interoperability</x:v>
      </x:c>
      <x:c r="C168" s="6" t="str">
        <x:v>Build-In Threaded Brand: 15</x:v>
      </x:c>
      <x:c r="D168" s="6" t="str">
        <x:v>user_feature</x:v>
      </x:c>
      <x:c r="E168" s="6" t="str">
        <x:v>PLANNED</x:v>
      </x:c>
      <x:c r="F168" s="6" t="str">
        <x:v>NOT_RUN</x:v>
      </x:c>
      <x:c r="G168" s="6" t="str">
        <x:v>adapter and production engineering</x:v>
      </x:c>
      <x:c r="H168" s="6" t="str">
        <x:v>M5-PROCESS</x:v>
      </x:c>
      <x:c r="I168" s="6" t="str">
        <x:v>acceptance</x:v>
      </x:c>
      <x:c r="J168" s="6" t="str">
        <x:v>Support at least 15 independently sourced/versioned thread catalogues with material and colour metadata.</x:v>
      </x:c>
      <x:c r="K168" s="6" t="str">
        <x:v>U1, B1, B7</x:v>
      </x:c>
      <x:c r="L168" s="6" t="str">
        <x:v>https://sewingcraft.brother.eu/en/products/machines/pe-design-software/pe-design-11</x:v>
      </x:c>
      <x:c r="M168" s="6" t="str"/>
    </x:row>
    <x:row r="169" ht="72" customHeight="1">
      <x:c r="A169" s="6" t="str">
        <x:v>T02</x:v>
      </x:c>
      <x:c r="B169" s="6" t="str">
        <x:v>Production and interoperability</x:v>
      </x:c>
      <x:c r="C169" s="6" t="str">
        <x:v>Change Colour Palette; updated thread chart</x:v>
      </x:c>
      <x:c r="D169" s="6" t="str">
        <x:v>user_feature</x:v>
      </x:c>
      <x:c r="E169" s="6" t="str">
        <x:v>PLANNED</x:v>
      </x:c>
      <x:c r="F169" s="6" t="str">
        <x:v>NOT_RUN</x:v>
      </x:c>
      <x:c r="G169" s="6" t="str">
        <x:v>adapter and production engineering</x:v>
      </x:c>
      <x:c r="H169" s="6" t="str">
        <x:v>M5-PROCESS</x:v>
      </x:c>
      <x:c r="I169" s="6" t="str">
        <x:v>acceptance</x:v>
      </x:c>
      <x:c r="J169" s="6" t="str">
        <x:v>Offer palette editing, thread substitution and versioned chart updates.</x:v>
      </x:c>
      <x:c r="K169" s="6" t="str">
        <x:v>U1, B1, B7</x:v>
      </x:c>
      <x:c r="L169" s="6" t="str">
        <x:v>https://sewingcraft.brother.eu/en/products/machines/pe-design-software/pe-design-11</x:v>
      </x:c>
      <x:c r="M169" s="6" t="str"/>
    </x:row>
    <x:row r="170" ht="72" customHeight="1">
      <x:c r="A170" s="6" t="str">
        <x:v>T03</x:v>
      </x:c>
      <x:c r="B170" s="6" t="str">
        <x:v>Production and interoperability</x:v>
      </x:c>
      <x:c r="C170" s="6" t="str">
        <x:v>Fabric Setting / Fabric Selector</x:v>
      </x:c>
      <x:c r="D170" s="6" t="str">
        <x:v>user_feature</x:v>
      </x:c>
      <x:c r="E170" s="6" t="str">
        <x:v>PLANNED</x:v>
      </x:c>
      <x:c r="F170" s="6" t="str">
        <x:v>NOT_RUN</x:v>
      </x:c>
      <x:c r="G170" s="6" t="str">
        <x:v>adapter and production engineering</x:v>
      </x:c>
      <x:c r="H170" s="6" t="str">
        <x:v>M5-PROCESS</x:v>
      </x:c>
      <x:c r="I170" s="6" t="str">
        <x:v>acceptance</x:v>
      </x:c>
      <x:c r="J170" s="6" t="str">
        <x:v>Store fabric/stabiliser/thread/needle conditions and evidence-scoped recipes.</x:v>
      </x:c>
      <x:c r="K170" s="6" t="str">
        <x:v>U1, B1, B7</x:v>
      </x:c>
      <x:c r="L170" s="6" t="str">
        <x:v>https://sewingcraft.brother.eu/en/products/machines/pe-design-software/pe-design-11</x:v>
      </x:c>
      <x:c r="M170" s="6" t="str"/>
    </x:row>
    <x:row r="171" ht="72" customHeight="1">
      <x:c r="A171" s="6" t="str">
        <x:v>T04</x:v>
      </x:c>
      <x:c r="B171" s="6" t="str">
        <x:v>Production and interoperability</x:v>
      </x:c>
      <x:c r="C171" s="6" t="str">
        <x:v>Create Split Embroidery Designs</x:v>
      </x:c>
      <x:c r="D171" s="6" t="str">
        <x:v>user_feature</x:v>
      </x:c>
      <x:c r="E171" s="6" t="str">
        <x:v>PLANNED</x:v>
      </x:c>
      <x:c r="F171" s="6" t="str">
        <x:v>NOT_RUN</x:v>
      </x:c>
      <x:c r="G171" s="6" t="str">
        <x:v>adapter and production engineering</x:v>
      </x:c>
      <x:c r="H171" s="6" t="str">
        <x:v>M7-INTEROP</x:v>
      </x:c>
      <x:c r="I171" s="6" t="str">
        <x:v>acceptance</x:v>
      </x:c>
      <x:c r="J171" s="6" t="str">
        <x:v>Plan multi-hoop partitions with ordering, overlap allowance and registration marks.</x:v>
      </x:c>
      <x:c r="K171" s="6" t="str">
        <x:v>U1, B1, B7</x:v>
      </x:c>
      <x:c r="L171" s="6" t="str">
        <x:v>https://sewingcraft.brother.eu/en/products/machines/pe-design-software/pe-design-11</x:v>
      </x:c>
      <x:c r="M171" s="6" t="str"/>
    </x:row>
    <x:row r="172" ht="72" customHeight="1">
      <x:c r="A172" s="6" t="str">
        <x:v>T05</x:v>
      </x:c>
      <x:c r="B172" s="6" t="str">
        <x:v>Production and interoperability</x:v>
      </x:c>
      <x:c r="C172" s="6" t="str">
        <x:v>Hoop Size: up to 360 x 360 / 272 x 408</x:v>
      </x:c>
      <x:c r="D172" s="6" t="str">
        <x:v>user_feature</x:v>
      </x:c>
      <x:c r="E172" s="6" t="str">
        <x:v>PLANNED</x:v>
      </x:c>
      <x:c r="F172" s="6" t="str">
        <x:v>NOT_RUN</x:v>
      </x:c>
      <x:c r="G172" s="6" t="str">
        <x:v>adapter and production engineering</x:v>
      </x:c>
      <x:c r="H172" s="6" t="str">
        <x:v>M7-INTEROP</x:v>
      </x:c>
      <x:c r="I172" s="6" t="str">
        <x:v>acceptance</x:v>
      </x:c>
      <x:c r="J172" s="6" t="str">
        <x:v>Preserve the two source envelopes as test cases, with explicit orientation and profile binding.</x:v>
      </x:c>
      <x:c r="K172" s="6" t="str">
        <x:v>U1, B1, B7</x:v>
      </x:c>
      <x:c r="L172" s="6" t="str">
        <x:v>https://sewingcraft.brother.eu/en/products/machines/pe-design-software/pe-design-11</x:v>
      </x:c>
      <x:c r="M172" s="6" t="str"/>
    </x:row>
    <x:row r="173" ht="72" customHeight="1">
      <x:c r="A173" s="6" t="str">
        <x:v>T06</x:v>
      </x:c>
      <x:c r="B173" s="6" t="str">
        <x:v>Production and interoperability</x:v>
      </x:c>
      <x:c r="C173" s="6" t="str">
        <x:v>Multi-Position Hoops</x:v>
      </x:c>
      <x:c r="D173" s="6" t="str">
        <x:v>user_feature</x:v>
      </x:c>
      <x:c r="E173" s="6" t="str">
        <x:v>PLANNED</x:v>
      </x:c>
      <x:c r="F173" s="6" t="str">
        <x:v>NOT_RUN</x:v>
      </x:c>
      <x:c r="G173" s="6" t="str">
        <x:v>adapter and production engineering</x:v>
      </x:c>
      <x:c r="H173" s="6" t="str">
        <x:v>M7-INTEROP</x:v>
      </x:c>
      <x:c r="I173" s="6" t="str">
        <x:v>acceptance</x:v>
      </x:c>
      <x:c r="J173" s="6" t="str">
        <x:v>Model indexed placements of one physical hoop and separate rehooping operations.</x:v>
      </x:c>
      <x:c r="K173" s="6" t="str">
        <x:v>U1, B1, B7</x:v>
      </x:c>
      <x:c r="L173" s="6" t="str">
        <x:v>https://sewingcraft.brother.eu/en/products/machines/pe-design-software/pe-design-11</x:v>
      </x:c>
      <x:c r="M173" s="6" t="str"/>
    </x:row>
    <x:row r="174" ht="72" customHeight="1">
      <x:c r="A174" s="6" t="str">
        <x:v>T07</x:v>
      </x:c>
      <x:c r="B174" s="6" t="str">
        <x:v>Production and interoperability</x:v>
      </x:c>
      <x:c r="C174" s="6" t="str">
        <x:v>Jump Stitch Trimming Setting</x:v>
      </x:c>
      <x:c r="D174" s="6" t="str">
        <x:v>user_feature</x:v>
      </x:c>
      <x:c r="E174" s="6" t="str">
        <x:v>PLANNED</x:v>
      </x:c>
      <x:c r="F174" s="6" t="str">
        <x:v>NOT_RUN</x:v>
      </x:c>
      <x:c r="G174" s="6" t="str">
        <x:v>adapter and production engineering</x:v>
      </x:c>
      <x:c r="H174" s="6" t="str">
        <x:v>M7-INTEROP</x:v>
      </x:c>
      <x:c r="I174" s="6" t="str">
        <x:v>acceptance</x:v>
      </x:c>
      <x:c r="J174" s="6" t="str">
        <x:v>Expose trim policy and machine-specific encoding/interpretation without assuming universal behaviour.</x:v>
      </x:c>
      <x:c r="K174" s="6" t="str">
        <x:v>U1, B1, B7</x:v>
      </x:c>
      <x:c r="L174" s="6" t="str">
        <x:v>https://sewingcraft.brother.eu/en/products/machines/pe-design-software/pe-design-11</x:v>
      </x:c>
      <x:c r="M174" s="6" t="str"/>
    </x:row>
    <x:row r="175" ht="72" customHeight="1">
      <x:c r="A175" s="6" t="str">
        <x:v>T08</x:v>
      </x:c>
      <x:c r="B175" s="6" t="str">
        <x:v>Production and interoperability</x:v>
      </x:c>
      <x:c r="C175" s="6" t="str">
        <x:v>File Import</x:v>
      </x:c>
      <x:c r="D175" s="6" t="str">
        <x:v>user_feature</x:v>
      </x:c>
      <x:c r="E175" s="6" t="str">
        <x:v>PLANNED</x:v>
      </x:c>
      <x:c r="F175" s="6" t="str">
        <x:v>NOT_RUN</x:v>
      </x:c>
      <x:c r="G175" s="6" t="str">
        <x:v>adapter and production engineering</x:v>
      </x:c>
      <x:c r="H175" s="6" t="str">
        <x:v>M7-INTEROP</x:v>
      </x:c>
      <x:c r="I175" s="6" t="str">
        <x:v>import</x:v>
      </x:c>
      <x:c r="J175" s="6" t="str">
        <x:v>Qualify imports per format version and recoverable semantics.</x:v>
      </x:c>
      <x:c r="K175" s="6" t="str">
        <x:v>U1, B1, B7</x:v>
      </x:c>
      <x:c r="L175" s="6" t="str">
        <x:v>https://sewingcraft.brother.eu/en/products/machines/pe-design-software/pe-design-11</x:v>
      </x:c>
      <x:c r="M175" s="6" t="str"/>
    </x:row>
    <x:row r="176" ht="72" customHeight="1">
      <x:c r="A176" s="6" t="str">
        <x:v>T09</x:v>
      </x:c>
      <x:c r="B176" s="6" t="str">
        <x:v>Production and interoperability</x:v>
      </x:c>
      <x:c r="C176" s="6" t="str">
        <x:v>File Export</x:v>
      </x:c>
      <x:c r="D176" s="6" t="str">
        <x:v>user_feature</x:v>
      </x:c>
      <x:c r="E176" s="6" t="str">
        <x:v>PLANNED</x:v>
      </x:c>
      <x:c r="F176" s="6" t="str">
        <x:v>NOT_RUN</x:v>
      </x:c>
      <x:c r="G176" s="6" t="str">
        <x:v>adapter and production engineering</x:v>
      </x:c>
      <x:c r="H176" s="6" t="str">
        <x:v>M7-INTEROP</x:v>
      </x:c>
      <x:c r="I176" s="6" t="str">
        <x:v>export</x:v>
      </x:c>
      <x:c r="J176" s="6" t="str">
        <x:v>Qualify writers separately and report metadata/semantic loss.</x:v>
      </x:c>
      <x:c r="K176" s="6" t="str">
        <x:v>U1, B1, B7</x:v>
      </x:c>
      <x:c r="L176" s="6" t="str">
        <x:v>https://sewingcraft.brother.eu/en/products/machines/pe-design-software/pe-design-11</x:v>
      </x:c>
      <x:c r="M176" s="6" t="str"/>
    </x:row>
    <x:row r="177" ht="72" customHeight="1">
      <x:c r="A177" s="6" t="str">
        <x:v>T10</x:v>
      </x:c>
      <x:c r="B177" s="6" t="str">
        <x:v>Production and interoperability</x:v>
      </x:c>
      <x:c r="C177" s="6" t="str">
        <x:v>PES Thumbnail Display</x:v>
      </x:c>
      <x:c r="D177" s="6" t="str">
        <x:v>user_feature</x:v>
      </x:c>
      <x:c r="E177" s="6" t="str">
        <x:v>PLANNED</x:v>
      </x:c>
      <x:c r="F177" s="6" t="str">
        <x:v>NOT_RUN</x:v>
      </x:c>
      <x:c r="G177" s="6" t="str">
        <x:v>adapter and production engineering</x:v>
      </x:c>
      <x:c r="H177" s="6" t="str">
        <x:v>M7-INTEROP</x:v>
      </x:c>
      <x:c r="I177" s="6" t="str">
        <x:v>acceptance</x:v>
      </x:c>
      <x:c r="J177" s="6" t="str">
        <x:v>Add deterministic PES previews from an authorised/qualified decoder.</x:v>
      </x:c>
      <x:c r="K177" s="6" t="str">
        <x:v>U1, B1, B7</x:v>
      </x:c>
      <x:c r="L177" s="6" t="str">
        <x:v>https://sewingcraft.brother.eu/en/products/machines/pe-design-software/pe-design-11</x:v>
      </x:c>
      <x:c r="M177" s="6" t="str"/>
    </x:row>
    <x:row r="178" ht="72" customHeight="1">
      <x:c r="A178" s="6" t="str">
        <x:v>T11</x:v>
      </x:c>
      <x:c r="B178" s="6" t="str">
        <x:v>Production and interoperability</x:v>
      </x:c>
      <x:c r="C178" s="6" t="str">
        <x:v>Import fcm (ScanNCut file)</x:v>
      </x:c>
      <x:c r="D178" s="6" t="str">
        <x:v>user_feature</x:v>
      </x:c>
      <x:c r="E178" s="6" t="str">
        <x:v>PLANNED</x:v>
      </x:c>
      <x:c r="F178" s="6" t="str">
        <x:v>NOT_RUN</x:v>
      </x:c>
      <x:c r="G178" s="6" t="str">
        <x:v>adapter and production engineering</x:v>
      </x:c>
      <x:c r="H178" s="6" t="str">
        <x:v>M7-INTEROP</x:v>
      </x:c>
      <x:c r="I178" s="6" t="str">
        <x:v>import</x:v>
      </x:c>
      <x:c r="J178" s="6" t="str">
        <x:v>Import cutting geometry through a distinct FCM adapter and explicit conversion step.</x:v>
      </x:c>
      <x:c r="K178" s="6" t="str">
        <x:v>U1, B4</x:v>
      </x:c>
      <x:c r="L178" s="6" t="str">
        <x:v>https://support.brother.com/g/s/hf/htmldoc/ped/im/ped11/en/PED11_EN/pages/09_1806110.html</x:v>
      </x:c>
      <x:c r="M178" s="6" t="str"/>
    </x:row>
    <x:row r="179" ht="72" customHeight="1">
      <x:c r="A179" s="6" t="str">
        <x:v>T12</x:v>
      </x:c>
      <x:c r="B179" s="6" t="str">
        <x:v>Production and interoperability</x:v>
      </x:c>
      <x:c r="C179" s="6" t="str">
        <x:v>fcm (ScanNCut file) Export</x:v>
      </x:c>
      <x:c r="D179" s="6" t="str">
        <x:v>user_feature</x:v>
      </x:c>
      <x:c r="E179" s="6" t="str">
        <x:v>PLANNED</x:v>
      </x:c>
      <x:c r="F179" s="6" t="str">
        <x:v>NOT_RUN</x:v>
      </x:c>
      <x:c r="G179" s="6" t="str">
        <x:v>adapter and production engineering</x:v>
      </x:c>
      <x:c r="H179" s="6" t="str">
        <x:v>M7-INTEROP</x:v>
      </x:c>
      <x:c r="I179" s="6" t="str">
        <x:v>export</x:v>
      </x:c>
      <x:c r="J179" s="6" t="str">
        <x:v>Export cutting geometry with adapter-specific material, offset and mat constraints.</x:v>
      </x:c>
      <x:c r="K179" s="6" t="str">
        <x:v>U1, B4</x:v>
      </x:c>
      <x:c r="L179" s="6" t="str">
        <x:v>https://support.brother.com/g/s/hf/htmldoc/ped/im/ped11/en/PED11_EN/pages/09_1806110.html</x:v>
      </x:c>
      <x:c r="M179" s="6" t="str"/>
    </x:row>
    <x:row r="180" ht="72" customHeight="1">
      <x:c r="A180" s="6" t="str">
        <x:v>T13</x:v>
      </x:c>
      <x:c r="B180" s="6" t="str">
        <x:v>Production and interoperability</x:v>
      </x:c>
      <x:c r="C180" s="6" t="str">
        <x:v>Link</x:v>
      </x:c>
      <x:c r="D180" s="6" t="str">
        <x:v>user_feature</x:v>
      </x:c>
      <x:c r="E180" s="6" t="str">
        <x:v>PLANNED</x:v>
      </x:c>
      <x:c r="F180" s="6" t="str">
        <x:v>NOT_RUN</x:v>
      </x:c>
      <x:c r="G180" s="6" t="str">
        <x:v>adapter and production engineering</x:v>
      </x:c>
      <x:c r="H180" s="6" t="str">
        <x:v>M7-INTEROP</x:v>
      </x:c>
      <x:c r="I180" s="6" t="str">
        <x:v>transfer</x:v>
      </x:c>
      <x:c r="J180" s="6" t="str">
        <x:v>Add qualified job queuing and device association with explicit delivery states.</x:v>
      </x:c>
      <x:c r="K180" s="6" t="str">
        <x:v>U1, B1, B7</x:v>
      </x:c>
      <x:c r="L180" s="6" t="str">
        <x:v>https://sewingcraft.brother.eu/en/products/machines/pe-design-software/pe-design-11</x:v>
      </x:c>
      <x:c r="M180" s="6" t="str"/>
    </x:row>
    <x:row r="181" ht="72" customHeight="1">
      <x:c r="A181" s="6" t="str">
        <x:v>T14</x:v>
      </x:c>
      <x:c r="B181" s="6" t="str">
        <x:v>Production and interoperability</x:v>
      </x:c>
      <x:c r="C181" s="6" t="str">
        <x:v>Wireless Export (Embroidery File)</x:v>
      </x:c>
      <x:c r="D181" s="6" t="str">
        <x:v>user_feature</x:v>
      </x:c>
      <x:c r="E181" s="6" t="str">
        <x:v>PLANNED</x:v>
      </x:c>
      <x:c r="F181" s="6" t="str">
        <x:v>NOT_RUN</x:v>
      </x:c>
      <x:c r="G181" s="6" t="str">
        <x:v>adapter and production engineering</x:v>
      </x:c>
      <x:c r="H181" s="6" t="str">
        <x:v>M7-INTEROP</x:v>
      </x:c>
      <x:c r="I181" s="6" t="str">
        <x:v>transfer</x:v>
      </x:c>
      <x:c r="J181" s="6" t="str">
        <x:v>Implement per-model sending with authenticated binding and exact-artifact receipt.</x:v>
      </x:c>
      <x:c r="K181" s="6" t="str">
        <x:v>U1, B1, B7</x:v>
      </x:c>
      <x:c r="L181" s="6" t="str">
        <x:v>https://sewingcraft.brother.eu/en/products/machines/pe-design-software/pe-design-11</x:v>
      </x:c>
      <x:c r="M181" s="6" t="str"/>
    </x:row>
    <x:row r="182" ht="72" customHeight="1">
      <x:c r="A182" s="6" t="str">
        <x:v>T15</x:v>
      </x:c>
      <x:c r="B182" s="6" t="str">
        <x:v>Production and interoperability</x:v>
      </x:c>
      <x:c r="C182" s="6" t="str">
        <x:v>Wireless Import (Embroidery File)</x:v>
      </x:c>
      <x:c r="D182" s="6" t="str">
        <x:v>user_feature</x:v>
      </x:c>
      <x:c r="E182" s="6" t="str">
        <x:v>PLANNED</x:v>
      </x:c>
      <x:c r="F182" s="6" t="str">
        <x:v>NOT_RUN</x:v>
      </x:c>
      <x:c r="G182" s="6" t="str">
        <x:v>adapter and production engineering</x:v>
      </x:c>
      <x:c r="H182" s="6" t="str">
        <x:v>M7-INTEROP</x:v>
      </x:c>
      <x:c r="I182" s="6" t="str">
        <x:v>import</x:v>
      </x:c>
      <x:c r="J182" s="6" t="str">
        <x:v>Implement receiving/retrieving as a separately evidenced operation.</x:v>
      </x:c>
      <x:c r="K182" s="6" t="str">
        <x:v>U1, B1, B7</x:v>
      </x:c>
      <x:c r="L182" s="6" t="str">
        <x:v>https://sewingcraft.brother.eu/en/products/machines/pe-design-software/pe-design-11</x:v>
      </x:c>
      <x:c r="M182" s="6" t="str"/>
    </x:row>
    <x:row r="183" ht="72" customHeight="1">
      <x:c r="A183" s="6" t="str">
        <x:v>T16</x:v>
      </x:c>
      <x:c r="B183" s="6" t="str">
        <x:v>Production and interoperability</x:v>
      </x:c>
      <x:c r="C183" s="6" t="str">
        <x:v>Luminaire Innov-is XP1 wireless</x:v>
      </x:c>
      <x:c r="D183" s="6" t="str">
        <x:v>user_feature</x:v>
      </x:c>
      <x:c r="E183" s="6" t="str">
        <x:v>PLANNED</x:v>
      </x:c>
      <x:c r="F183" s="6" t="str">
        <x:v>NOT_RUN</x:v>
      </x:c>
      <x:c r="G183" s="6" t="str">
        <x:v>adapter and production engineering</x:v>
      </x:c>
      <x:c r="H183" s="6" t="str">
        <x:v>M7-INTEROP</x:v>
      </x:c>
      <x:c r="I183" s="6" t="str">
        <x:v>transfer</x:v>
      </x:c>
      <x:c r="J183" s="6" t="str">
        <x:v>Create a candidate profile and qualify only the operations supported by an available adapter.</x:v>
      </x:c>
      <x:c r="K183" s="6" t="str">
        <x:v>U1, B1, B7</x:v>
      </x:c>
      <x:c r="L183" s="6" t="str">
        <x:v>https://sewingcraft.brother.eu/en/products/machines/pe-design-software/pe-design-11</x:v>
      </x:c>
      <x:c r="M183" s="6" t="str"/>
    </x:row>
    <x:row r="184" ht="72" customHeight="1">
      <x:c r="A184" s="6" t="str">
        <x:v>T17</x:v>
      </x:c>
      <x:c r="B184" s="6" t="str">
        <x:v>Production and interoperability</x:v>
      </x:c>
      <x:c r="C184" s="6" t="str">
        <x:v>Stellaire XE1/XJ1 wireless</x:v>
      </x:c>
      <x:c r="D184" s="6" t="str">
        <x:v>user_feature</x:v>
      </x:c>
      <x:c r="E184" s="6" t="str">
        <x:v>PLANNED</x:v>
      </x:c>
      <x:c r="F184" s="6" t="str">
        <x:v>NOT_RUN</x:v>
      </x:c>
      <x:c r="G184" s="6" t="str">
        <x:v>adapter and production engineering</x:v>
      </x:c>
      <x:c r="H184" s="6" t="str">
        <x:v>M7-INTEROP</x:v>
      </x:c>
      <x:c r="I184" s="6" t="str">
        <x:v>transfer</x:v>
      </x:c>
      <x:c r="J184" s="6" t="str">
        <x:v>Keep XE1 and XJ1 profiles distinct and test applicable firmware/interfaces.</x:v>
      </x:c>
      <x:c r="K184" s="6" t="str">
        <x:v>U1, B1, B7</x:v>
      </x:c>
      <x:c r="L184" s="6" t="str">
        <x:v>https://sewingcraft.brother.eu/en/products/machines/pe-design-software/pe-design-11</x:v>
      </x:c>
      <x:c r="M184" s="6" t="str"/>
    </x:row>
    <x:row r="185" ht="72" customHeight="1">
      <x:c r="A185" s="6" t="str">
        <x:v>T18</x:v>
      </x:c>
      <x:c r="B185" s="6" t="str">
        <x:v>Production and interoperability</x:v>
      </x:c>
      <x:c r="C185" s="6" t="str">
        <x:v>Stitch Stimulation [source label]</x:v>
      </x:c>
      <x:c r="D185" s="6" t="str">
        <x:v>user_feature</x:v>
      </x:c>
      <x:c r="E185" s="6" t="str">
        <x:v>CANDIDATE_SUBSET</x:v>
      </x:c>
      <x:c r="F185" s="6" t="str">
        <x:v>NOT_RUN</x:v>
      </x:c>
      <x:c r="G185" s="6" t="str">
        <x:v>adapter and production engineering</x:v>
      </x:c>
      <x:c r="H185" s="6" t="str">
        <x:v>M5-PROCESS</x:v>
      </x:c>
      <x:c r="I185" s="6" t="str">
        <x:v>acceptance</x:v>
      </x:c>
      <x:c r="J185" s="6" t="str">
        <x:v>Map source wording to stitch playback, separate from calibrated machine/process simulation.</x:v>
      </x:c>
      <x:c r="K185" s="6" t="str">
        <x:v>U1, B1, B7</x:v>
      </x:c>
      <x:c r="L185" s="6" t="str">
        <x:v>https://sewingcraft.brother.eu/en/products/machines/pe-design-software/pe-design-11</x:v>
      </x:c>
      <x:c r="M185" s="6" t="str"/>
    </x:row>
    <x:row r="186" ht="72" customHeight="1">
      <x:c r="A186" s="6" t="str">
        <x:v>T19</x:v>
      </x:c>
      <x:c r="B186" s="6" t="str">
        <x:v>Production and interoperability</x:v>
      </x:c>
      <x:c r="C186" s="6" t="str">
        <x:v>Install Program: in PE Design Software Key</x:v>
      </x:c>
      <x:c r="D186" s="6" t="str">
        <x:v>user_feature</x:v>
      </x:c>
      <x:c r="E186" s="6" t="str">
        <x:v>PLANNED</x:v>
      </x:c>
      <x:c r="F186" s="6" t="str">
        <x:v>NOT_RUN</x:v>
      </x:c>
      <x:c r="G186" s="6" t="str">
        <x:v>adapter and production engineering</x:v>
      </x:c>
      <x:c r="H186" s="6" t="str">
        <x:v>M7-INTEROP</x:v>
      </x:c>
      <x:c r="I186" s="6" t="str">
        <x:v>acceptance</x:v>
      </x:c>
      <x:c r="J186" s="6" t="str">
        <x:v>Preserve competitor packaging claim; design our own signed installer/offline entitlement route.</x:v>
      </x:c>
      <x:c r="K186" s="6" t="str">
        <x:v>U1, B1, B7</x:v>
      </x:c>
      <x:c r="L186" s="6" t="str">
        <x:v>https://sewingcraft.brother.eu/en/products/machines/pe-design-software/pe-design-11</x:v>
      </x:c>
      <x:c r="M186" s="6" t="str"/>
    </x:row>
    <x:row r="187" ht="72" customHeight="1">
      <x:c r="A187" s="6" t="str">
        <x:v>T20</x:v>
      </x:c>
      <x:c r="B187" s="6" t="str">
        <x:v>Production and interoperability</x:v>
      </x:c>
      <x:c r="C187" s="6" t="str">
        <x:v>Security Device: PE Design Software Key</x:v>
      </x:c>
      <x:c r="D187" s="6" t="str">
        <x:v>user_feature</x:v>
      </x:c>
      <x:c r="E187" s="6" t="str">
        <x:v>PLANNED</x:v>
      </x:c>
      <x:c r="F187" s="6" t="str">
        <x:v>NOT_RUN</x:v>
      </x:c>
      <x:c r="G187" s="6" t="str">
        <x:v>adapter and production engineering</x:v>
      </x:c>
      <x:c r="H187" s="6" t="str">
        <x:v>M7-INTEROP</x:v>
      </x:c>
      <x:c r="I187" s="6" t="str">
        <x:v>acceptance</x:v>
      </x:c>
      <x:c r="J187" s="6" t="str">
        <x:v>Provide our own approved entitlement/security mechanism, not circumvention or copied authentication.</x:v>
      </x:c>
      <x:c r="K187" s="6" t="str">
        <x:v>U1, B1, B7</x:v>
      </x:c>
      <x:c r="L187" s="6" t="str">
        <x:v>https://sewingcraft.brother.eu/en/products/machines/pe-design-software/pe-design-11</x:v>
      </x:c>
      <x:c r="M187" s="6" t="str"/>
    </x:row>
    <x:row r="188" ht="72" customHeight="1">
      <x:c r="A188" s="6" t="str">
        <x:v>H01</x:v>
      </x:c>
      <x:c r="B188" s="6" t="str">
        <x:v>PE-Design hardware baseline</x:v>
      </x:c>
      <x:c r="C188" s="6" t="str">
        <x:v>PC: IBM PC or compatible PC</x:v>
      </x:c>
      <x:c r="D188" s="6" t="str">
        <x:v>user_feature</x:v>
      </x:c>
      <x:c r="E188" s="6" t="str">
        <x:v>UNQUALIFIED</x:v>
      </x:c>
      <x:c r="F188" s="6" t="str">
        <x:v>NOT_RUN</x:v>
      </x:c>
      <x:c r="G188" s="6" t="str">
        <x:v>compatibility engineering</x:v>
      </x:c>
      <x:c r="H188" s="6" t="str">
        <x:v>M8-QUALIFY</x:v>
      </x:c>
      <x:c r="I188" s="6" t="str">
        <x:v>host_test</x:v>
      </x:c>
      <x:c r="J188" s="6" t="str">
        <x:v>Record actual architecture/OS/runtime; hardware branding is not a qualification.</x:v>
      </x:c>
      <x:c r="K188" s="6" t="str">
        <x:v>U1, B1</x:v>
      </x:c>
      <x:c r="L188" s="6" t="str">
        <x:v>https://sewingcraft.brother.eu/en/products/machines/pe-design-software/pe-design-11</x:v>
      </x:c>
      <x:c r="M188" s="6" t="str"/>
    </x:row>
    <x:row r="189" ht="72" customHeight="1">
      <x:c r="A189" s="6" t="str">
        <x:v>H02</x:v>
      </x:c>
      <x:c r="B189" s="6" t="str">
        <x:v>PE-Design hardware baseline</x:v>
      </x:c>
      <x:c r="C189" s="6" t="str">
        <x:v>Windows 11/10/8.1/7</x:v>
      </x:c>
      <x:c r="D189" s="6" t="str">
        <x:v>user_feature</x:v>
      </x:c>
      <x:c r="E189" s="6" t="str">
        <x:v>UNQUALIFIED</x:v>
      </x:c>
      <x:c r="F189" s="6" t="str">
        <x:v>NOT_RUN</x:v>
      </x:c>
      <x:c r="G189" s="6" t="str">
        <x:v>compatibility engineering</x:v>
      </x:c>
      <x:c r="H189" s="6" t="str">
        <x:v>M8-QUALIFY</x:v>
      </x:c>
      <x:c r="I189" s="6" t="str">
        <x:v>host_test</x:v>
      </x:c>
      <x:c r="J189" s="6" t="str">
        <x:v>Preserve this new OS set separately from the previous DRAWings/Wings set.</x:v>
      </x:c>
      <x:c r="K189" s="6" t="str">
        <x:v>U1, B1</x:v>
      </x:c>
      <x:c r="L189" s="6" t="str">
        <x:v>https://sewingcraft.brother.eu/en/products/machines/pe-design-software/pe-design-11</x:v>
      </x:c>
      <x:c r="M189" s="6" t="str"/>
    </x:row>
    <x:row r="190" ht="72" customHeight="1">
      <x:c r="A190" s="6" t="str">
        <x:v>H03</x:v>
      </x:c>
      <x:c r="B190" s="6" t="str">
        <x:v>PE-Design hardware baseline</x:v>
      </x:c>
      <x:c r="C190" s="6" t="str">
        <x:v>Processor: 1 GHz or higher</x:v>
      </x:c>
      <x:c r="D190" s="6" t="str">
        <x:v>user_feature</x:v>
      </x:c>
      <x:c r="E190" s="6" t="str">
        <x:v>UNQUALIFIED</x:v>
      </x:c>
      <x:c r="F190" s="6" t="str">
        <x:v>NOT_RUN</x:v>
      </x:c>
      <x:c r="G190" s="6" t="str">
        <x:v>compatibility engineering</x:v>
      </x:c>
      <x:c r="H190" s="6" t="str">
        <x:v>M8-QUALIFY</x:v>
      </x:c>
      <x:c r="I190" s="6" t="str">
        <x:v>host_test</x:v>
      </x:c>
      <x:c r="J190" s="6" t="str">
        <x:v>Add a distinct low-resource host test profile without changing the earlier 1.5 GHz target.</x:v>
      </x:c>
      <x:c r="K190" s="6" t="str">
        <x:v>U1, B1</x:v>
      </x:c>
      <x:c r="L190" s="6" t="str">
        <x:v>https://sewingcraft.brother.eu/en/products/machines/pe-design-software/pe-design-11</x:v>
      </x:c>
      <x:c r="M190" s="6" t="str"/>
    </x:row>
    <x:row r="191" ht="72" customHeight="1">
      <x:c r="A191" s="6" t="str">
        <x:v>H04</x:v>
      </x:c>
      <x:c r="B191" s="6" t="str">
        <x:v>PE-Design hardware baseline</x:v>
      </x:c>
      <x:c r="C191" s="6" t="str">
        <x:v>Main memory: 512 MB</x:v>
      </x:c>
      <x:c r="D191" s="6" t="str">
        <x:v>user_feature</x:v>
      </x:c>
      <x:c r="E191" s="6" t="str">
        <x:v>UNQUALIFIED</x:v>
      </x:c>
      <x:c r="F191" s="6" t="str">
        <x:v>NOT_RUN</x:v>
      </x:c>
      <x:c r="G191" s="6" t="str">
        <x:v>compatibility engineering</x:v>
      </x:c>
      <x:c r="H191" s="6" t="str">
        <x:v>M8-QUALIFY</x:v>
      </x:c>
      <x:c r="I191" s="6" t="str">
        <x:v>host_test</x:v>
      </x:c>
      <x:c r="J191" s="6" t="str">
        <x:v>Treat as a source hardware floor and qualify a bounded helper/static-review route before claiming feasibility.</x:v>
      </x:c>
      <x:c r="K191" s="6" t="str">
        <x:v>U1, B1</x:v>
      </x:c>
      <x:c r="L191" s="6" t="str">
        <x:v>https://sewingcraft.brother.eu/en/products/machines/pe-design-software/pe-design-11</x:v>
      </x:c>
      <x:c r="M191" s="6" t="str"/>
    </x:row>
    <x:row r="192" ht="72" customHeight="1">
      <x:c r="A192" s="6" t="str">
        <x:v>H05</x:v>
      </x:c>
      <x:c r="B192" s="6" t="str">
        <x:v>PE-Design hardware baseline</x:v>
      </x:c>
      <x:c r="C192" s="6" t="str">
        <x:v>Memory: 1 GB or more recommended</x:v>
      </x:c>
      <x:c r="D192" s="6" t="str">
        <x:v>user_feature</x:v>
      </x:c>
      <x:c r="E192" s="6" t="str">
        <x:v>UNQUALIFIED</x:v>
      </x:c>
      <x:c r="F192" s="6" t="str">
        <x:v>NOT_RUN</x:v>
      </x:c>
      <x:c r="G192" s="6" t="str">
        <x:v>compatibility engineering</x:v>
      </x:c>
      <x:c r="H192" s="6" t="str">
        <x:v>M8-QUALIFY</x:v>
      </x:c>
      <x:c r="I192" s="6" t="str">
        <x:v>host_test</x:v>
      </x:c>
      <x:c r="J192" s="6" t="str">
        <x:v>Keep recommendation distinct from the minimum; do not claim local AI/3D parity at this floor.</x:v>
      </x:c>
      <x:c r="K192" s="6" t="str">
        <x:v>U1, B1</x:v>
      </x:c>
      <x:c r="L192" s="6" t="str">
        <x:v>https://sewingcraft.brother.eu/en/products/machines/pe-design-software/pe-design-11</x:v>
      </x:c>
      <x:c r="M192" s="6" t="str"/>
    </x:row>
    <x:row r="193" ht="72" customHeight="1">
      <x:c r="A193" s="6" t="str">
        <x:v>H06</x:v>
      </x:c>
      <x:c r="B193" s="6" t="str">
        <x:v>PE-Design hardware baseline</x:v>
      </x:c>
      <x:c r="C193" s="6" t="str">
        <x:v>Hard drive capacity: 300 MB</x:v>
      </x:c>
      <x:c r="D193" s="6" t="str">
        <x:v>user_feature</x:v>
      </x:c>
      <x:c r="E193" s="6" t="str">
        <x:v>UNQUALIFIED</x:v>
      </x:c>
      <x:c r="F193" s="6" t="str">
        <x:v>NOT_RUN</x:v>
      </x:c>
      <x:c r="G193" s="6" t="str">
        <x:v>compatibility engineering</x:v>
      </x:c>
      <x:c r="H193" s="6" t="str">
        <x:v>M8-QUALIFY</x:v>
      </x:c>
      <x:c r="I193" s="6" t="str">
        <x:v>host_test</x:v>
      </x:c>
      <x:c r="J193" s="6" t="str">
        <x:v>Define a separate restricted-component footprint target; do not replace the earlier 800 MB baseline.</x:v>
      </x:c>
      <x:c r="K193" s="6" t="str">
        <x:v>U1, B1</x:v>
      </x:c>
      <x:c r="L193" s="6" t="str">
        <x:v>https://sewingcraft.brother.eu/en/products/machines/pe-design-software/pe-design-11</x:v>
      </x:c>
      <x:c r="M193" s="6" t="str"/>
    </x:row>
    <x:row r="194" ht="72" customHeight="1">
      <x:c r="A194" s="6" t="str">
        <x:v>H07</x:v>
      </x:c>
      <x:c r="B194" s="6" t="str">
        <x:v>PE-Design hardware baseline</x:v>
      </x:c>
      <x:c r="C194" s="6" t="str">
        <x:v>Monitor: XGA 1024 x 768, 16-bit colour or higher</x:v>
      </x:c>
      <x:c r="D194" s="6" t="str">
        <x:v>user_feature</x:v>
      </x:c>
      <x:c r="E194" s="6" t="str">
        <x:v>UNQUALIFIED</x:v>
      </x:c>
      <x:c r="F194" s="6" t="str">
        <x:v>NOT_RUN</x:v>
      </x:c>
      <x:c r="G194" s="6" t="str">
        <x:v>compatibility engineering</x:v>
      </x:c>
      <x:c r="H194" s="6" t="str">
        <x:v>M8-QUALIFY</x:v>
      </x:c>
      <x:c r="I194" s="6" t="str">
        <x:v>host_test</x:v>
      </x:c>
      <x:c r="J194" s="6" t="str">
        <x:v>Provide a testable compact layout with scroll/access to every required control.</x:v>
      </x:c>
      <x:c r="K194" s="6" t="str">
        <x:v>U1, B1</x:v>
      </x:c>
      <x:c r="L194" s="6" t="str">
        <x:v>https://sewingcraft.brother.eu/en/products/machines/pe-design-software/pe-design-11</x:v>
      </x:c>
      <x:c r="M194" s="6" t="str"/>
    </x:row>
    <x:row r="195" ht="72" customHeight="1">
      <x:c r="A195" s="6" t="str">
        <x:v>H08</x:v>
      </x:c>
      <x:c r="B195" s="6" t="str">
        <x:v>PE-Design hardware baseline</x:v>
      </x:c>
      <x:c r="C195" s="6" t="str">
        <x:v>Ports: 2 x USB</x:v>
      </x:c>
      <x:c r="D195" s="6" t="str">
        <x:v>user_feature</x:v>
      </x:c>
      <x:c r="E195" s="6" t="str">
        <x:v>UNQUALIFIED</x:v>
      </x:c>
      <x:c r="F195" s="6" t="str">
        <x:v>NOT_RUN</x:v>
      </x:c>
      <x:c r="G195" s="6" t="str">
        <x:v>compatibility engineering</x:v>
      </x:c>
      <x:c r="H195" s="6" t="str">
        <x:v>M8-QUALIFY</x:v>
      </x:c>
      <x:c r="I195" s="6" t="str">
        <x:v>host_test</x:v>
      </x:c>
      <x:c r="J195" s="6" t="str">
        <x:v>Record optional licensing and physical peripheral/transfer needs separately.</x:v>
      </x:c>
      <x:c r="K195" s="6" t="str">
        <x:v>U1, B1</x:v>
      </x:c>
      <x:c r="L195" s="6" t="str">
        <x:v>https://sewingcraft.brother.eu/en/products/machines/pe-design-software/pe-design-11</x:v>
      </x:c>
      <x:c r="M195" s="6" t="str"/>
    </x:row>
    <x:row r="196" ht="72" customHeight="1">
      <x:c r="A196" s="6" t="str">
        <x:v>H09</x:v>
      </x:c>
      <x:c r="B196" s="6" t="str">
        <x:v>PE-Design hardware baseline</x:v>
      </x:c>
      <x:c r="C196" s="6" t="str">
        <x:v>Internet access required for upgrade</x:v>
      </x:c>
      <x:c r="D196" s="6" t="str">
        <x:v>user_feature</x:v>
      </x:c>
      <x:c r="E196" s="6" t="str">
        <x:v>UNQUALIFIED</x:v>
      </x:c>
      <x:c r="F196" s="6" t="str">
        <x:v>NOT_RUN</x:v>
      </x:c>
      <x:c r="G196" s="6" t="str">
        <x:v>compatibility engineering</x:v>
      </x:c>
      <x:c r="H196" s="6" t="str">
        <x:v>M8-QUALIFY</x:v>
      </x:c>
      <x:c r="I196" s="6" t="str">
        <x:v>host_test</x:v>
      </x:c>
      <x:c r="J196" s="6" t="str">
        <x:v>Separate installation/update connectivity from runtime/offline editing.</x:v>
      </x:c>
      <x:c r="K196" s="6" t="str">
        <x:v>U1, B1</x:v>
      </x:c>
      <x:c r="L196" s="6" t="str">
        <x:v>https://sewingcraft.brother.eu/en/products/machines/pe-design-software/pe-design-11</x:v>
      </x:c>
      <x:c r="M196" s="6" t="str"/>
    </x:row>
    <x:row r="197" ht="72" customHeight="1">
      <x:c r="A197" s="6" t="str">
        <x:v>H10</x:v>
      </x:c>
      <x:c r="B197" s="6" t="str">
        <x:v>PE-Design hardware baseline</x:v>
      </x:c>
      <x:c r="C197" s="6" t="str">
        <x:v>Minimum PC table: Windows 7/8.1/10, 1 GB recommended, 2 USB</x:v>
      </x:c>
      <x:c r="D197" s="6" t="str">
        <x:v>user_feature</x:v>
      </x:c>
      <x:c r="E197" s="6" t="str">
        <x:v>UNQUALIFIED</x:v>
      </x:c>
      <x:c r="F197" s="6" t="str">
        <x:v>NOT_RUN</x:v>
      </x:c>
      <x:c r="G197" s="6" t="str">
        <x:v>compatibility engineering</x:v>
      </x:c>
      <x:c r="H197" s="6" t="str">
        <x:v>M8-QUALIFY</x:v>
      </x:c>
      <x:c r="I197" s="6" t="str">
        <x:v>host_test</x:v>
      </x:c>
      <x:c r="J197" s="6" t="str">
        <x:v>Preserve this table variant alongside the headline list that includes Windows 11.</x:v>
      </x:c>
      <x:c r="K197" s="6" t="str">
        <x:v>U1, B1</x:v>
      </x:c>
      <x:c r="L197" s="6" t="str">
        <x:v>https://sewingcraft.brother.eu/en/products/machines/pe-design-software/pe-design-11</x:v>
      </x:c>
      <x:c r="M197" s="6" t="str"/>
    </x:row>
    <x:row r="198" ht="72" customHeight="1">
      <x:c r="A198" s="6" t="str">
        <x:v>X01</x:v>
      </x:c>
      <x:c r="B198" s="6" t="str">
        <x:v>Beyond-parity extensions</x:v>
      </x:c>
      <x:c r="C198" s="6" t="str">
        <x:v>Role-based shared workspace</x:v>
      </x:c>
      <x:c r="D198" s="6" t="str">
        <x:v>proposed_extension</x:v>
      </x:c>
      <x:c r="E198" s="6" t="str">
        <x:v>PLANNED</x:v>
      </x:c>
      <x:c r="F198" s="6" t="str">
        <x:v>NOT_RUN</x:v>
      </x:c>
      <x:c r="G198" s="6" t="str">
        <x:v>platform and assurance engineering</x:v>
      </x:c>
      <x:c r="H198" s="6" t="str">
        <x:v>M8-QUALIFY</x:v>
      </x:c>
      <x:c r="I198" s="6" t="str">
        <x:v>acceptance</x:v>
      </x:c>
      <x:c r="J198" s="6" t="str">
        <x:v>Use one project model with tasks for digitiser, designer, operator, customer reviewer and administrator.</x:v>
      </x:c>
      <x:c r="K198" s="6" t="str">
        <x:v>P1</x:v>
      </x:c>
      <x:c r="L198" s="6" t="str"/>
      <x:c r="M198" s="6" t="str"/>
    </x:row>
    <x:row r="199" ht="72" customHeight="1">
      <x:c r="A199" s="6" t="str">
        <x:v>X02</x:v>
      </x:c>
      <x:c r="B199" s="6" t="str">
        <x:v>Beyond-parity extensions</x:v>
      </x:c>
      <x:c r="C199" s="6" t="str">
        <x:v>Independent typed AI proposals</x:v>
      </x:c>
      <x:c r="D199" s="6" t="str">
        <x:v>proposed_extension</x:v>
      </x:c>
      <x:c r="E199" s="6" t="str">
        <x:v>PLANNED</x:v>
      </x:c>
      <x:c r="F199" s="6" t="str">
        <x:v>NOT_RUN</x:v>
      </x:c>
      <x:c r="G199" s="6" t="str">
        <x:v>platform and assurance engineering</x:v>
      </x:c>
      <x:c r="H199" s="6" t="str">
        <x:v>M8-QUALIFY</x:v>
      </x:c>
      <x:c r="I199" s="6" t="str">
        <x:v>acceptance</x:v>
      </x:c>
      <x:c r="J199" s="6" t="str">
        <x:v>Provider-neutral proposal interfaces with capability lookup, prompt injection isolation and explicit review.</x:v>
      </x:c>
      <x:c r="K199" s="6" t="str">
        <x:v>P1</x:v>
      </x:c>
      <x:c r="L199" s="6" t="str"/>
      <x:c r="M199" s="6" t="str"/>
    </x:row>
    <x:row r="200" ht="72" customHeight="1">
      <x:c r="A200" s="6" t="str">
        <x:v>X03</x:v>
      </x:c>
      <x:c r="B200" s="6" t="str">
        <x:v>Beyond-parity extensions</x:v>
      </x:c>
      <x:c r="C200" s="6" t="str">
        <x:v>Export-faithful twin</x:v>
      </x:c>
      <x:c r="D200" s="6" t="str">
        <x:v>proposed_extension</x:v>
      </x:c>
      <x:c r="E200" s="6" t="str">
        <x:v>PLANNED</x:v>
      </x:c>
      <x:c r="F200" s="6" t="str">
        <x:v>NOT_RUN</x:v>
      </x:c>
      <x:c r="G200" s="6" t="str">
        <x:v>platform and assurance engineering</x:v>
      </x:c>
      <x:c r="H200" s="6" t="str">
        <x:v>M8-QUALIFY</x:v>
      </x:c>
      <x:c r="I200" s="6" t="str">
        <x:v>acceptance</x:v>
      </x:c>
      <x:c r="J200" s="6" t="str">
        <x:v>Render the trace decoded from exact output bytes; keep visual, kinematic, calibrated and connected evidence separate.</x:v>
      </x:c>
      <x:c r="K200" s="6" t="str">
        <x:v>P1</x:v>
      </x:c>
      <x:c r="L200" s="6" t="str"/>
      <x:c r="M200" s="6" t="str"/>
    </x:row>
    <x:row r="201" ht="72" customHeight="1">
      <x:c r="A201" s="6" t="str">
        <x:v>X04</x:v>
      </x:c>
      <x:c r="B201" s="6" t="str">
        <x:v>Beyond-parity extensions</x:v>
      </x:c>
      <x:c r="C201" s="6" t="str">
        <x:v>Multi-vendor machine calibration</x:v>
      </x:c>
      <x:c r="D201" s="6" t="str">
        <x:v>proposed_extension</x:v>
      </x:c>
      <x:c r="E201" s="6" t="str">
        <x:v>PLANNED</x:v>
      </x:c>
      <x:c r="F201" s="6" t="str">
        <x:v>NOT_RUN</x:v>
      </x:c>
      <x:c r="G201" s="6" t="str">
        <x:v>platform and assurance engineering</x:v>
      </x:c>
      <x:c r="H201" s="6" t="str">
        <x:v>M8-QUALIFY</x:v>
      </x:c>
      <x:c r="I201" s="6" t="str">
        <x:v>acceptance</x:v>
      </x:c>
      <x:c r="J201" s="6" t="str">
        <x:v>Qualify model/controller/firmware/attachment/material combinations; unknown parameters remain unknown.</x:v>
      </x:c>
      <x:c r="K201" s="6" t="str">
        <x:v>P1</x:v>
      </x:c>
      <x:c r="L201" s="6" t="str"/>
      <x:c r="M201" s="6" t="str"/>
    </x:row>
    <x:row r="202" ht="72" customHeight="1">
      <x:c r="A202" s="6" t="str">
        <x:v>X05</x:v>
      </x:c>
      <x:c r="B202" s="6" t="str">
        <x:v>Beyond-parity extensions</x:v>
      </x:c>
      <x:c r="C202" s="6" t="str">
        <x:v>Operating-system independence</x:v>
      </x:c>
      <x:c r="D202" s="6" t="str">
        <x:v>proposed_extension</x:v>
      </x:c>
      <x:c r="E202" s="6" t="str">
        <x:v>PLANNED</x:v>
      </x:c>
      <x:c r="F202" s="6" t="str">
        <x:v>NOT_RUN</x:v>
      </x:c>
      <x:c r="G202" s="6" t="str">
        <x:v>platform and assurance engineering</x:v>
      </x:c>
      <x:c r="H202" s="6" t="str">
        <x:v>M8-QUALIFY</x:v>
      </x:c>
      <x:c r="I202" s="6" t="str">
        <x:v>acceptance</x:v>
      </x:c>
      <x:c r="J202" s="6" t="str">
        <x:v>Qualify modern Windows/macOS/Linux and mobile separately; preserve legacy gateway options.</x:v>
      </x:c>
      <x:c r="K202" s="6" t="str">
        <x:v>P1</x:v>
      </x:c>
      <x:c r="L202" s="6" t="str"/>
      <x:c r="M202" s="6" t="str"/>
    </x:row>
    <x:row r="203" ht="72" customHeight="1">
      <x:c r="A203" s="6" t="str">
        <x:v>X06</x:v>
      </x:c>
      <x:c r="B203" s="6" t="str">
        <x:v>Beyond-parity extensions</x:v>
      </x:c>
      <x:c r="C203" s="6" t="str">
        <x:v>Proof-linked original/embroidery/PDF/cutting/sewing views</x:v>
      </x:c>
      <x:c r="D203" s="6" t="str">
        <x:v>proposed_extension</x:v>
      </x:c>
      <x:c r="E203" s="6" t="str">
        <x:v>PLANNED</x:v>
      </x:c>
      <x:c r="F203" s="6" t="str">
        <x:v>NOT_RUN</x:v>
      </x:c>
      <x:c r="G203" s="6" t="str">
        <x:v>platform and assurance engineering</x:v>
      </x:c>
      <x:c r="H203" s="6" t="str">
        <x:v>M8-QUALIFY</x:v>
      </x:c>
      <x:c r="I203" s="6" t="str">
        <x:v>acceptance</x:v>
      </x:c>
      <x:c r="J203" s="6" t="str">
        <x:v>Give each artifact a typed viewer and one shared physical coordinate registration.</x:v>
      </x:c>
      <x:c r="K203" s="6" t="str">
        <x:v>P1</x:v>
      </x:c>
      <x:c r="L203" s="6" t="str"/>
      <x:c r="M203" s="6" t="str"/>
    </x:row>
    <x:row r="204" ht="72" customHeight="1">
      <x:c r="A204" s="6" t="str">
        <x:v>X07</x:v>
      </x:c>
      <x:c r="B204" s="6" t="str">
        <x:v>Beyond-parity extensions</x:v>
      </x:c>
      <x:c r="C204" s="6" t="str">
        <x:v>Continuous repair suggestions</x:v>
      </x:c>
      <x:c r="D204" s="6" t="str">
        <x:v>proposed_extension</x:v>
      </x:c>
      <x:c r="E204" s="6" t="str">
        <x:v>PLANNED</x:v>
      </x:c>
      <x:c r="F204" s="6" t="str">
        <x:v>NOT_RUN</x:v>
      </x:c>
      <x:c r="G204" s="6" t="str">
        <x:v>platform and assurance engineering</x:v>
      </x:c>
      <x:c r="H204" s="6" t="str">
        <x:v>M8-QUALIFY</x:v>
      </x:c>
      <x:c r="I204" s="6" t="str">
        <x:v>acceptance</x:v>
      </x:c>
      <x:c r="J204" s="6" t="str">
        <x:v>Use measured defects and operator labels to propose local repairs; no self-approved machine release.</x:v>
      </x:c>
      <x:c r="K204" s="6" t="str">
        <x:v>P1</x:v>
      </x:c>
      <x:c r="L204" s="6" t="str"/>
      <x:c r="M204" s="6" t="str"/>
    </x:row>
    <x:row r="205" ht="72" customHeight="1">
      <x:c r="A205" s="6" t="str">
        <x:v>X08</x:v>
      </x:c>
      <x:c r="B205" s="6" t="str">
        <x:v>Beyond-parity extensions</x:v>
      </x:c>
      <x:c r="C205" s="6" t="str">
        <x:v>Outcome benchmark corpus</x:v>
      </x:c>
      <x:c r="D205" s="6" t="str">
        <x:v>proposed_extension</x:v>
      </x:c>
      <x:c r="E205" s="6" t="str">
        <x:v>PLANNED</x:v>
      </x:c>
      <x:c r="F205" s="6" t="str">
        <x:v>NOT_RUN</x:v>
      </x:c>
      <x:c r="G205" s="6" t="str">
        <x:v>platform and assurance engineering</x:v>
      </x:c>
      <x:c r="H205" s="6" t="str">
        <x:v>M8-QUALIFY</x:v>
      </x:c>
      <x:c r="I205" s="6" t="str">
        <x:v>acceptance</x:v>
      </x:c>
      <x:c r="J205" s="6" t="str">
        <x:v>Build licensed, versioned datasets with blind quality review, held-out designs and recorded material conditions.</x:v>
      </x:c>
      <x:c r="K205" s="6" t="str">
        <x:v>P1</x:v>
      </x:c>
      <x:c r="L205" s="6" t="str"/>
      <x:c r="M205" s="6" t="str"/>
    </x:row>
    <x:row r="206" ht="72" customHeight="1">
      <x:c r="A206" s="6" t="str">
        <x:v>X09</x:v>
      </x:c>
      <x:c r="B206" s="6" t="str">
        <x:v>Beyond-parity extensions</x:v>
      </x:c>
      <x:c r="C206" s="6" t="str">
        <x:v>Offline-first core and portable projects</x:v>
      </x:c>
      <x:c r="D206" s="6" t="str">
        <x:v>proposed_extension</x:v>
      </x:c>
      <x:c r="E206" s="6" t="str">
        <x:v>PLANNED</x:v>
      </x:c>
      <x:c r="F206" s="6" t="str">
        <x:v>NOT_RUN</x:v>
      </x:c>
      <x:c r="G206" s="6" t="str">
        <x:v>platform and assurance engineering</x:v>
      </x:c>
      <x:c r="H206" s="6" t="str">
        <x:v>M8-QUALIFY</x:v>
      </x:c>
      <x:c r="I206" s="6" t="str">
        <x:v>acceptance</x:v>
      </x:c>
      <x:c r="J206" s="6" t="str">
        <x:v>Retain editable designs and export access without mandatory cloud inference; sync conflicts are explicit.</x:v>
      </x:c>
      <x:c r="K206" s="6" t="str">
        <x:v>P1</x:v>
      </x:c>
      <x:c r="L206" s="6" t="str"/>
      <x:c r="M206" s="6" t="str"/>
    </x:row>
    <x:row r="207" ht="72" customHeight="1">
      <x:c r="A207" s="6" t="str">
        <x:v>X10</x:v>
      </x:c>
      <x:c r="B207" s="6" t="str">
        <x:v>Beyond-parity extensions</x:v>
      </x:c>
      <x:c r="C207" s="6" t="str">
        <x:v>Interoperability specification</x:v>
      </x:c>
      <x:c r="D207" s="6" t="str">
        <x:v>proposed_extension</x:v>
      </x:c>
      <x:c r="E207" s="6" t="str">
        <x:v>PLANNED</x:v>
      </x:c>
      <x:c r="F207" s="6" t="str">
        <x:v>NOT_RUN</x:v>
      </x:c>
      <x:c r="G207" s="6" t="str">
        <x:v>platform and assurance engineering</x:v>
      </x:c>
      <x:c r="H207" s="6" t="str">
        <x:v>M8-QUALIFY</x:v>
      </x:c>
      <x:c r="I207" s="6" t="str">
        <x:v>acceptance</x:v>
      </x:c>
      <x:c r="J207" s="6" t="str">
        <x:v>Publish project schemas and conformance tests; describe ISO alignment as a future assessment, not certification.</x:v>
      </x:c>
      <x:c r="K207" s="6" t="str">
        <x:v>P1, I1</x:v>
      </x:c>
      <x:c r="L207" s="6" t="str">
        <x:v>https://www.iso.org/standard/75066.html</x:v>
      </x:c>
      <x:c r="M207" s="6" t="str"/>
    </x:row>
    <x:row r="208" ht="72" customHeight="1">
      <x:c r="A208" s="6" t="str">
        <x:v>X11</x:v>
      </x:c>
      <x:c r="B208" s="6" t="str">
        <x:v>Beyond-parity extensions</x:v>
      </x:c>
      <x:c r="C208" s="6" t="str">
        <x:v>Supply-chain and parser security</x:v>
      </x:c>
      <x:c r="D208" s="6" t="str">
        <x:v>proposed_extension</x:v>
      </x:c>
      <x:c r="E208" s="6" t="str">
        <x:v>PLANNED</x:v>
      </x:c>
      <x:c r="F208" s="6" t="str">
        <x:v>NOT_RUN</x:v>
      </x:c>
      <x:c r="G208" s="6" t="str">
        <x:v>platform and assurance engineering</x:v>
      </x:c>
      <x:c r="H208" s="6" t="str">
        <x:v>M8-QUALIFY</x:v>
      </x:c>
      <x:c r="I208" s="6" t="str">
        <x:v>acceptance</x:v>
      </x:c>
      <x:c r="J208" s="6" t="str">
        <x:v>Isolate untrusted SVG/PDF/CAD/font/embroidery parsing with bounds, cancellation and provenance.</x:v>
      </x:c>
      <x:c r="K208" s="6" t="str">
        <x:v>P1</x:v>
      </x:c>
      <x:c r="L208" s="6" t="str"/>
      <x:c r="M208" s="6" t="str"/>
    </x:row>
    <x:row r="209" ht="72" customHeight="1">
      <x:c r="A209" s="6" t="str">
        <x:v>X12</x:v>
      </x:c>
      <x:c r="B209" s="6" t="str">
        <x:v>Beyond-parity extensions</x:v>
      </x:c>
      <x:c r="C209" s="6" t="str">
        <x:v>True chain/chenille and specialty tooling</x:v>
      </x:c>
      <x:c r="D209" s="6" t="str">
        <x:v>proposed_extension</x:v>
      </x:c>
      <x:c r="E209" s="6" t="str">
        <x:v>PLANNED</x:v>
      </x:c>
      <x:c r="F209" s="6" t="str">
        <x:v>NOT_RUN</x:v>
      </x:c>
      <x:c r="G209" s="6" t="str">
        <x:v>platform and assurance engineering</x:v>
      </x:c>
      <x:c r="H209" s="6" t="str">
        <x:v>M8-QUALIFY</x:v>
      </x:c>
      <x:c r="I209" s="6" t="str">
        <x:v>acceptance</x:v>
      </x:c>
      <x:c r="J209" s="6" t="str">
        <x:v>Treat mechanical chain/chenille/sequin/needle-cutting capability as distinct from decorative path appearance.</x:v>
      </x:c>
      <x:c r="K209" s="6" t="str">
        <x:v>P1</x:v>
      </x:c>
      <x:c r="L209" s="6" t="str"/>
      <x:c r="M209" s="6" t="str"/>
    </x:row>
    <x:row r="210" ht="72" customHeight="1">
      <x:c r="A210" s="6" t="str">
        <x:v>X13</x:v>
      </x:c>
      <x:c r="B210" s="6" t="str">
        <x:v>Beyond-parity extensions</x:v>
      </x:c>
      <x:c r="C210" s="6" t="str">
        <x:v>Predictable cancellation and compute budgets</x:v>
      </x:c>
      <x:c r="D210" s="6" t="str">
        <x:v>proposed_extension</x:v>
      </x:c>
      <x:c r="E210" s="6" t="str">
        <x:v>PLANNED</x:v>
      </x:c>
      <x:c r="F210" s="6" t="str">
        <x:v>NOT_RUN</x:v>
      </x:c>
      <x:c r="G210" s="6" t="str">
        <x:v>platform and assurance engineering</x:v>
      </x:c>
      <x:c r="H210" s="6" t="str">
        <x:v>M8-QUALIFY</x:v>
      </x:c>
      <x:c r="I210" s="6" t="str">
        <x:v>acceptance</x:v>
      </x:c>
      <x:c r="J210" s="6" t="str">
        <x:v>Set bounded region/stitch/texture/model jobs; cancellation cannot restore stale results.</x:v>
      </x:c>
      <x:c r="K210" s="6" t="str">
        <x:v>P1</x:v>
      </x:c>
      <x:c r="L210" s="6" t="str"/>
      <x:c r="M210" s="6" t="str"/>
    </x:row>
    <x:row r="211" ht="72" customHeight="1">
      <x:c r="A211" s="6" t="str">
        <x:v>X14</x:v>
      </x:c>
      <x:c r="B211" s="6" t="str">
        <x:v>Beyond-parity extensions</x:v>
      </x:c>
      <x:c r="C211" s="6" t="str">
        <x:v>Accessibility and Apple-inspired controls</x:v>
      </x:c>
      <x:c r="D211" s="6" t="str">
        <x:v>proposed_extension</x:v>
      </x:c>
      <x:c r="E211" s="6" t="str">
        <x:v>PLANNED</x:v>
      </x:c>
      <x:c r="F211" s="6" t="str">
        <x:v>NOT_RUN</x:v>
      </x:c>
      <x:c r="G211" s="6" t="str">
        <x:v>platform and assurance engineering</x:v>
      </x:c>
      <x:c r="H211" s="6" t="str">
        <x:v>M8-QUALIFY</x:v>
      </x:c>
      <x:c r="I211" s="6" t="str">
        <x:v>acceptance</x:v>
      </x:c>
      <x:c r="J211" s="6" t="str">
        <x:v>Keyboard-accessible actions, contrast, reduced motion and opaque modes; visuals do not hide engineering state.</x:v>
      </x:c>
      <x:c r="K211" s="6" t="str">
        <x:v>P1</x:v>
      </x:c>
      <x:c r="L211" s="6" t="str"/>
      <x:c r="M211" s="6" t="str"/>
    </x:row>
  </x:sheetData>
  <x:conditionalFormatting sqref="F2:F211">
    <x:cfRule type="expression" dxfId="0" priority="1">
      <x:formula>F2="ACCEPTED_SCOPED"</x:formula>
    </x:cfRule>
    <x:cfRule type="expression" dxfId="1" priority="2">
      <x:formula>F2="FAILED"</x:formula>
    </x:cfRule>
  </x:conditionalFormatting>
  <x:dataValidations count="2">
    <x:dataValidation type="list" sqref="E2:E211">
      <x:formula1>"PLANNED,LIBRARY_SUBSET,CANDIDATE_SUBSET,REFERENCE_UTILITY,UNQUALIFIED,IMPLEMENTED"</x:formula1>
    </x:dataValidation>
    <x:dataValidation type="list" sqref="F2:F211">
      <x:formula1>"NOT_RUN,FAILED,ACCEPTED_SCOPED"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13dbbec87543f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65" hidden="0" customWidth="1"/>
    <x:col min="4" max="4" width="62" hidden="0" customWidth="1"/>
    <x:col min="5" max="5" width="22" hidden="0" customWidth="1"/>
    <x:col min="6" max="6" width="25" hidden="0" customWidth="1"/>
    <x:col min="7" max="7" width="42" hidden="0" customWidth="1"/>
  </x:cols>
  <x:sheetData>
    <x:row r="1" ht="32" customHeight="1">
      <x:c r="A1" s="11" t="str">
        <x:v>ID</x:v>
      </x:c>
      <x:c r="B1" s="11" t="str">
        <x:v>Feature</x:v>
      </x:c>
      <x:c r="C1" s="11" t="str">
        <x:v>Positive acceptance case</x:v>
      </x:c>
      <x:c r="D1" s="11" t="str">
        <x:v>Negative / failure case</x:v>
      </x:c>
      <x:c r="E1" s="11" t="str">
        <x:v>Dependencies</x:v>
      </x:c>
      <x:c r="F1" s="11" t="str">
        <x:v>Required operations</x:v>
      </x:c>
      <x:c r="G1" s="11" t="str">
        <x:v>Evidence references — empty until tested</x:v>
      </x:c>
    </x:row>
    <x:row r="2" ht="88" customHeight="1">
      <x:c r="A2" s="6" t="str">
        <x:v>B01</x:v>
      </x:c>
      <x:c r="B2" s="6" t="str">
        <x:v>CPU</x:v>
      </x:c>
      <x:c r="C2" s="6" t="str">
        <x:v>Run the named operation on a recorded OS/ISA/device/driver/workload; preserve limits, exact artifacts and test evidence.</x:v>
      </x:c>
      <x:c r="D2" s="6" t="str">
        <x:v>Reject unsupported targets and mismatched or stale artifacts; do not interpret this inherited row as passed.</x:v>
      </x:c>
      <x:c r="E2" s="6" t="str">
        <x:v>G01</x:v>
      </x:c>
      <x:c r="F2" s="6" t="str">
        <x:v>acceptance</x:v>
      </x:c>
      <x:c r="G2" s="6" t="str"/>
    </x:row>
    <x:row r="3" ht="88" customHeight="1">
      <x:c r="A3" s="6" t="str">
        <x:v>B02</x:v>
      </x:c>
      <x:c r="B3" s="6" t="str">
        <x:v>RAM XP</x:v>
      </x:c>
      <x:c r="C3" s="6" t="str">
        <x:v>Run the named operation on a recorded OS/ISA/device/driver/workload; preserve limits, exact artifacts and test evidence.</x:v>
      </x:c>
      <x:c r="D3" s="6" t="str">
        <x:v>Reject unsupported targets and mismatched or stale artifacts; do not interpret this inherited row as passed.</x:v>
      </x:c>
      <x:c r="E3" s="6" t="str">
        <x:v>G01</x:v>
      </x:c>
      <x:c r="F3" s="6" t="str">
        <x:v>acceptance</x:v>
      </x:c>
      <x:c r="G3" s="6" t="str"/>
    </x:row>
    <x:row r="4" ht="88" customHeight="1">
      <x:c r="A4" s="6" t="str">
        <x:v>B03</x:v>
      </x:c>
      <x:c r="B4" s="6" t="str">
        <x:v>RAM Vista and 7</x:v>
      </x:c>
      <x:c r="C4" s="6" t="str">
        <x:v>Run the named operation on a recorded OS/ISA/device/driver/workload; preserve limits, exact artifacts and test evidence.</x:v>
      </x:c>
      <x:c r="D4" s="6" t="str">
        <x:v>Reject unsupported targets and mismatched or stale artifacts; do not interpret this inherited row as passed.</x:v>
      </x:c>
      <x:c r="E4" s="6" t="str">
        <x:v>G01</x:v>
      </x:c>
      <x:c r="F4" s="6" t="str">
        <x:v>acceptance</x:v>
      </x:c>
      <x:c r="G4" s="6" t="str"/>
    </x:row>
    <x:row r="5" ht="88" customHeight="1">
      <x:c r="A5" s="6" t="str">
        <x:v>B04</x:v>
      </x:c>
      <x:c r="B5" s="6" t="str">
        <x:v>RAM listed 64-bit OS</x:v>
      </x:c>
      <x:c r="C5" s="6" t="str">
        <x:v>Run the named operation on a recorded OS/ISA/device/driver/workload; preserve limits, exact artifacts and test evidence.</x:v>
      </x:c>
      <x:c r="D5" s="6" t="str">
        <x:v>Reject unsupported targets and mismatched or stale artifacts; do not interpret this inherited row as passed.</x:v>
      </x:c>
      <x:c r="E5" s="6" t="str">
        <x:v>G01</x:v>
      </x:c>
      <x:c r="F5" s="6" t="str">
        <x:v>acceptance</x:v>
      </x:c>
      <x:c r="G5" s="6" t="str"/>
    </x:row>
    <x:row r="6" ht="88" customHeight="1">
      <x:c r="A6" s="6" t="str">
        <x:v>B05</x:v>
      </x:c>
      <x:c r="B6" s="6" t="str">
        <x:v>GPU</x:v>
      </x:c>
      <x:c r="C6" s="6" t="str">
        <x:v>Run the named operation on a recorded OS/ISA/device/driver/workload; preserve limits, exact artifacts and test evidence.</x:v>
      </x:c>
      <x:c r="D6" s="6" t="str">
        <x:v>Reject unsupported targets and mismatched or stale artifacts; do not interpret this inherited row as passed.</x:v>
      </x:c>
      <x:c r="E6" s="6" t="str">
        <x:v>G01</x:v>
      </x:c>
      <x:c r="F6" s="6" t="str">
        <x:v>acceptance</x:v>
      </x:c>
      <x:c r="G6" s="6" t="str"/>
    </x:row>
    <x:row r="7" ht="88" customHeight="1">
      <x:c r="A7" s="6" t="str">
        <x:v>B06</x:v>
      </x:c>
      <x:c r="B7" s="6" t="str">
        <x:v>Disk</x:v>
      </x:c>
      <x:c r="C7" s="6" t="str">
        <x:v>Run the named operation on a recorded OS/ISA/device/driver/workload; preserve limits, exact artifacts and test evidence.</x:v>
      </x:c>
      <x:c r="D7" s="6" t="str">
        <x:v>Reject unsupported targets and mismatched or stale artifacts; do not interpret this inherited row as passed.</x:v>
      </x:c>
      <x:c r="E7" s="6" t="str">
        <x:v>G01</x:v>
      </x:c>
      <x:c r="F7" s="6" t="str">
        <x:v>acceptance</x:v>
      </x:c>
      <x:c r="G7" s="6" t="str"/>
    </x:row>
    <x:row r="8" ht="88" customHeight="1">
      <x:c r="A8" s="6" t="str">
        <x:v>B07</x:v>
      </x:c>
      <x:c r="B8" s="6" t="str">
        <x:v>DVD</x:v>
      </x:c>
      <x:c r="C8" s="6" t="str">
        <x:v>Run the named operation on a recorded OS/ISA/device/driver/workload; preserve limits, exact artifacts and test evidence.</x:v>
      </x:c>
      <x:c r="D8" s="6" t="str">
        <x:v>Reject unsupported targets and mismatched or stale artifacts; do not interpret this inherited row as passed.</x:v>
      </x:c>
      <x:c r="E8" s="6" t="str">
        <x:v>G01</x:v>
      </x:c>
      <x:c r="F8" s="6" t="str">
        <x:v>acceptance</x:v>
      </x:c>
      <x:c r="G8" s="6" t="str"/>
    </x:row>
    <x:row r="9" ht="88" customHeight="1">
      <x:c r="A9" s="6" t="str">
        <x:v>B08</x:v>
      </x:c>
      <x:c r="B9" s="6" t="str">
        <x:v>OS</x:v>
      </x:c>
      <x:c r="C9" s="6" t="str">
        <x:v>Run the named operation on a recorded OS/ISA/device/driver/workload; preserve limits, exact artifacts and test evidence.</x:v>
      </x:c>
      <x:c r="D9" s="6" t="str">
        <x:v>Reject unsupported targets and mismatched or stale artifacts; do not interpret this inherited row as passed.</x:v>
      </x:c>
      <x:c r="E9" s="6" t="str">
        <x:v>G01</x:v>
      </x:c>
      <x:c r="F9" s="6" t="str">
        <x:v>acceptance</x:v>
      </x:c>
      <x:c r="G9" s="6" t="str"/>
    </x:row>
    <x:row r="10" ht="88" customHeight="1">
      <x:c r="A10" s="6" t="str">
        <x:v>B09</x:v>
      </x:c>
      <x:c r="B10" s="6" t="str">
        <x:v>Scanner</x:v>
      </x:c>
      <x:c r="C10" s="6" t="str">
        <x:v>Run the named operation on a recorded OS/ISA/device/driver/workload; preserve limits, exact artifacts and test evidence.</x:v>
      </x:c>
      <x:c r="D10" s="6" t="str">
        <x:v>Reject unsupported targets and mismatched or stale artifacts; do not interpret this inherited row as passed.</x:v>
      </x:c>
      <x:c r="E10" s="6" t="str">
        <x:v>G01</x:v>
      </x:c>
      <x:c r="F10" s="6" t="str">
        <x:v>acceptance</x:v>
      </x:c>
      <x:c r="G10" s="6" t="str"/>
    </x:row>
    <x:row r="11" ht="88" customHeight="1">
      <x:c r="A11" s="6" t="str">
        <x:v>B10</x:v>
      </x:c>
      <x:c r="B11" s="6" t="str">
        <x:v>Tablet</x:v>
      </x:c>
      <x:c r="C11" s="6" t="str">
        <x:v>Run the named operation on a recorded OS/ISA/device/driver/workload; preserve limits, exact artifacts and test evidence.</x:v>
      </x:c>
      <x:c r="D11" s="6" t="str">
        <x:v>Reject unsupported targets and mismatched or stale artifacts; do not interpret this inherited row as passed.</x:v>
      </x:c>
      <x:c r="E11" s="6" t="str">
        <x:v>G01</x:v>
      </x:c>
      <x:c r="F11" s="6" t="str">
        <x:v>acceptance</x:v>
      </x:c>
      <x:c r="G11" s="6" t="str"/>
    </x:row>
    <x:row r="12" ht="88" customHeight="1">
      <x:c r="A12" s="6" t="str">
        <x:v>B11</x:v>
      </x:c>
      <x:c r="B12" s="6" t="str">
        <x:v>Printer</x:v>
      </x:c>
      <x:c r="C12" s="6" t="str">
        <x:v>Run the named operation on a recorded OS/ISA/device/driver/workload; preserve limits, exact artifacts and test evidence.</x:v>
      </x:c>
      <x:c r="D12" s="6" t="str">
        <x:v>Reject unsupported targets and mismatched or stale artifacts; do not interpret this inherited row as passed.</x:v>
      </x:c>
      <x:c r="E12" s="6" t="str">
        <x:v>G01</x:v>
      </x:c>
      <x:c r="F12" s="6" t="str">
        <x:v>acceptance</x:v>
      </x:c>
      <x:c r="G12" s="6" t="str"/>
    </x:row>
    <x:row r="13" ht="88" customHeight="1">
      <x:c r="A13" s="6" t="str">
        <x:v>B12</x:v>
      </x:c>
      <x:c r="B13" s="6" t="str">
        <x:v>USB</x:v>
      </x:c>
      <x:c r="C13" s="6" t="str">
        <x:v>Run the named operation on a recorded OS/ISA/device/driver/workload; preserve limits, exact artifacts and test evidence.</x:v>
      </x:c>
      <x:c r="D13" s="6" t="str">
        <x:v>Reject unsupported targets and mismatched or stale artifacts; do not interpret this inherited row as passed.</x:v>
      </x:c>
      <x:c r="E13" s="6" t="str">
        <x:v>G01</x:v>
      </x:c>
      <x:c r="F13" s="6" t="str">
        <x:v>acceptance</x:v>
      </x:c>
      <x:c r="G13" s="6" t="str"/>
    </x:row>
    <x:row r="14" ht="88" customHeight="1">
      <x:c r="A14" s="6" t="str">
        <x:v>R01</x:v>
      </x:c>
      <x:c r="B14" s="6" t="str">
        <x:v>CPU</x:v>
      </x:c>
      <x:c r="C14" s="6" t="str">
        <x:v>Run the named operation on a recorded OS/ISA/device/driver/workload; preserve limits, exact artifacts and test evidence.</x:v>
      </x:c>
      <x:c r="D14" s="6" t="str">
        <x:v>Reject unsupported targets and mismatched or stale artifacts; do not interpret this inherited row as passed.</x:v>
      </x:c>
      <x:c r="E14" s="6" t="str">
        <x:v>G01</x:v>
      </x:c>
      <x:c r="F14" s="6" t="str">
        <x:v>acceptance</x:v>
      </x:c>
      <x:c r="G14" s="6" t="str"/>
    </x:row>
    <x:row r="15" ht="88" customHeight="1">
      <x:c r="A15" s="6" t="str">
        <x:v>R02</x:v>
      </x:c>
      <x:c r="B15" s="6" t="str">
        <x:v>RAM XP</x:v>
      </x:c>
      <x:c r="C15" s="6" t="str">
        <x:v>Run the named operation on a recorded OS/ISA/device/driver/workload; preserve limits, exact artifacts and test evidence.</x:v>
      </x:c>
      <x:c r="D15" s="6" t="str">
        <x:v>Reject unsupported targets and mismatched or stale artifacts; do not interpret this inherited row as passed.</x:v>
      </x:c>
      <x:c r="E15" s="6" t="str">
        <x:v>G01</x:v>
      </x:c>
      <x:c r="F15" s="6" t="str">
        <x:v>acceptance</x:v>
      </x:c>
      <x:c r="G15" s="6" t="str"/>
    </x:row>
    <x:row r="16" ht="88" customHeight="1">
      <x:c r="A16" s="6" t="str">
        <x:v>R03</x:v>
      </x:c>
      <x:c r="B16" s="6" t="str">
        <x:v>RAM listed OS</x:v>
      </x:c>
      <x:c r="C16" s="6" t="str">
        <x:v>Run the named operation on a recorded OS/ISA/device/driver/workload; preserve limits, exact artifacts and test evidence.</x:v>
      </x:c>
      <x:c r="D16" s="6" t="str">
        <x:v>Reject unsupported targets and mismatched or stale artifacts; do not interpret this inherited row as passed.</x:v>
      </x:c>
      <x:c r="E16" s="6" t="str">
        <x:v>G01</x:v>
      </x:c>
      <x:c r="F16" s="6" t="str">
        <x:v>acceptance</x:v>
      </x:c>
      <x:c r="G16" s="6" t="str"/>
    </x:row>
    <x:row r="17" ht="88" customHeight="1">
      <x:c r="A17" s="6" t="str">
        <x:v>R04</x:v>
      </x:c>
      <x:c r="B17" s="6" t="str">
        <x:v>RAM listed 64-bit OS</x:v>
      </x:c>
      <x:c r="C17" s="6" t="str">
        <x:v>Run the named operation on a recorded OS/ISA/device/driver/workload; preserve limits, exact artifacts and test evidence.</x:v>
      </x:c>
      <x:c r="D17" s="6" t="str">
        <x:v>Reject unsupported targets and mismatched or stale artifacts; do not interpret this inherited row as passed.</x:v>
      </x:c>
      <x:c r="E17" s="6" t="str">
        <x:v>G01</x:v>
      </x:c>
      <x:c r="F17" s="6" t="str">
        <x:v>acceptance</x:v>
      </x:c>
      <x:c r="G17" s="6" t="str"/>
    </x:row>
    <x:row r="18" ht="88" customHeight="1">
      <x:c r="A18" s="6" t="str">
        <x:v>R05</x:v>
      </x:c>
      <x:c r="B18" s="6" t="str">
        <x:v>GPU</x:v>
      </x:c>
      <x:c r="C18" s="6" t="str">
        <x:v>Run the named operation on a recorded OS/ISA/device/driver/workload; preserve limits, exact artifacts and test evidence.</x:v>
      </x:c>
      <x:c r="D18" s="6" t="str">
        <x:v>Reject unsupported targets and mismatched or stale artifacts; do not interpret this inherited row as passed.</x:v>
      </x:c>
      <x:c r="E18" s="6" t="str">
        <x:v>G01</x:v>
      </x:c>
      <x:c r="F18" s="6" t="str">
        <x:v>acceptance</x:v>
      </x:c>
      <x:c r="G18" s="6" t="str"/>
    </x:row>
    <x:row r="19" ht="88" customHeight="1">
      <x:c r="A19" s="6" t="str">
        <x:v>R06</x:v>
      </x:c>
      <x:c r="B19" s="6" t="str">
        <x:v>Disk</x:v>
      </x:c>
      <x:c r="C19" s="6" t="str">
        <x:v>Run the named operation on a recorded OS/ISA/device/driver/workload; preserve limits, exact artifacts and test evidence.</x:v>
      </x:c>
      <x:c r="D19" s="6" t="str">
        <x:v>Reject unsupported targets and mismatched or stale artifacts; do not interpret this inherited row as passed.</x:v>
      </x:c>
      <x:c r="E19" s="6" t="str">
        <x:v>G01</x:v>
      </x:c>
      <x:c r="F19" s="6" t="str">
        <x:v>acceptance</x:v>
      </x:c>
      <x:c r="G19" s="6" t="str"/>
    </x:row>
    <x:row r="20" ht="88" customHeight="1">
      <x:c r="A20" s="6" t="str">
        <x:v>R07</x:v>
      </x:c>
      <x:c r="B20" s="6" t="str">
        <x:v>DVD</x:v>
      </x:c>
      <x:c r="C20" s="6" t="str">
        <x:v>Run the named operation on a recorded OS/ISA/device/driver/workload; preserve limits, exact artifacts and test evidence.</x:v>
      </x:c>
      <x:c r="D20" s="6" t="str">
        <x:v>Reject unsupported targets and mismatched or stale artifacts; do not interpret this inherited row as passed.</x:v>
      </x:c>
      <x:c r="E20" s="6" t="str">
        <x:v>G01</x:v>
      </x:c>
      <x:c r="F20" s="6" t="str">
        <x:v>acceptance</x:v>
      </x:c>
      <x:c r="G20" s="6" t="str"/>
    </x:row>
    <x:row r="21" ht="88" customHeight="1">
      <x:c r="A21" s="6" t="str">
        <x:v>R08</x:v>
      </x:c>
      <x:c r="B21" s="6" t="str">
        <x:v>OS</x:v>
      </x:c>
      <x:c r="C21" s="6" t="str">
        <x:v>Run the named operation on a recorded OS/ISA/device/driver/workload; preserve limits, exact artifacts and test evidence.</x:v>
      </x:c>
      <x:c r="D21" s="6" t="str">
        <x:v>Reject unsupported targets and mismatched or stale artifacts; do not interpret this inherited row as passed.</x:v>
      </x:c>
      <x:c r="E21" s="6" t="str">
        <x:v>G01</x:v>
      </x:c>
      <x:c r="F21" s="6" t="str">
        <x:v>acceptance</x:v>
      </x:c>
      <x:c r="G21" s="6" t="str"/>
    </x:row>
    <x:row r="22" ht="88" customHeight="1">
      <x:c r="A22" s="6" t="str">
        <x:v>R09</x:v>
      </x:c>
      <x:c r="B22" s="6" t="str">
        <x:v>Scanner</x:v>
      </x:c>
      <x:c r="C22" s="6" t="str">
        <x:v>Run the named operation on a recorded OS/ISA/device/driver/workload; preserve limits, exact artifacts and test evidence.</x:v>
      </x:c>
      <x:c r="D22" s="6" t="str">
        <x:v>Reject unsupported targets and mismatched or stale artifacts; do not interpret this inherited row as passed.</x:v>
      </x:c>
      <x:c r="E22" s="6" t="str">
        <x:v>G01</x:v>
      </x:c>
      <x:c r="F22" s="6" t="str">
        <x:v>acceptance</x:v>
      </x:c>
      <x:c r="G22" s="6" t="str"/>
    </x:row>
    <x:row r="23" ht="88" customHeight="1">
      <x:c r="A23" s="6" t="str">
        <x:v>R10</x:v>
      </x:c>
      <x:c r="B23" s="6" t="str">
        <x:v>Tablet</x:v>
      </x:c>
      <x:c r="C23" s="6" t="str">
        <x:v>Run the named operation on a recorded OS/ISA/device/driver/workload; preserve limits, exact artifacts and test evidence.</x:v>
      </x:c>
      <x:c r="D23" s="6" t="str">
        <x:v>Reject unsupported targets and mismatched or stale artifacts; do not interpret this inherited row as passed.</x:v>
      </x:c>
      <x:c r="E23" s="6" t="str">
        <x:v>G01</x:v>
      </x:c>
      <x:c r="F23" s="6" t="str">
        <x:v>acceptance</x:v>
      </x:c>
      <x:c r="G23" s="6" t="str"/>
    </x:row>
    <x:row r="24" ht="88" customHeight="1">
      <x:c r="A24" s="6" t="str">
        <x:v>R11</x:v>
      </x:c>
      <x:c r="B24" s="6" t="str">
        <x:v>Printer</x:v>
      </x:c>
      <x:c r="C24" s="6" t="str">
        <x:v>Run the named operation on a recorded OS/ISA/device/driver/workload; preserve limits, exact artifacts and test evidence.</x:v>
      </x:c>
      <x:c r="D24" s="6" t="str">
        <x:v>Reject unsupported targets and mismatched or stale artifacts; do not interpret this inherited row as passed.</x:v>
      </x:c>
      <x:c r="E24" s="6" t="str">
        <x:v>G01</x:v>
      </x:c>
      <x:c r="F24" s="6" t="str">
        <x:v>acceptance</x:v>
      </x:c>
      <x:c r="G24" s="6" t="str"/>
    </x:row>
    <x:row r="25" ht="88" customHeight="1">
      <x:c r="A25" s="6" t="str">
        <x:v>R12</x:v>
      </x:c>
      <x:c r="B25" s="6" t="str">
        <x:v>USB</x:v>
      </x:c>
      <x:c r="C25" s="6" t="str">
        <x:v>Run the named operation on a recorded OS/ISA/device/driver/workload; preserve limits, exact artifacts and test evidence.</x:v>
      </x:c>
      <x:c r="D25" s="6" t="str">
        <x:v>Reject unsupported targets and mismatched or stale artifacts; do not interpret this inherited row as passed.</x:v>
      </x:c>
      <x:c r="E25" s="6" t="str">
        <x:v>G01</x:v>
      </x:c>
      <x:c r="F25" s="6" t="str">
        <x:v>acceptance</x:v>
      </x:c>
      <x:c r="G25" s="6" t="str"/>
    </x:row>
    <x:row r="26" ht="88" customHeight="1">
      <x:c r="A26" s="6" t="str">
        <x:v>E01</x:v>
      </x:c>
      <x:c r="B26" s="6" t="str">
        <x:v>Operating systems and architectures</x:v>
      </x:c>
      <x:c r="C26" s="6" t="str">
        <x:v>Operation-specific tests and independent evidence; utility tests do not qualify native/UI/hardware behaviour.</x:v>
      </x:c>
      <x:c r="D26" s="6" t="str">
        <x:v>Reject unsupported targets and mismatched or stale artifacts; do not interpret this inherited row as passed.</x:v>
      </x:c>
      <x:c r="E26" s="6" t="str">
        <x:v>G01</x:v>
      </x:c>
      <x:c r="F26" s="6" t="str">
        <x:v>acceptance</x:v>
      </x:c>
      <x:c r="G26" s="6" t="str"/>
    </x:row>
    <x:row r="27" ht="88" customHeight="1">
      <x:c r="A27" s="6" t="str">
        <x:v>E02</x:v>
      </x:c>
      <x:c r="B27" s="6" t="str">
        <x:v>Earlier hardware</x:v>
      </x:c>
      <x:c r="C27" s="6" t="str">
        <x:v>Operation-specific tests and independent evidence; utility tests do not qualify native/UI/hardware behaviour.</x:v>
      </x:c>
      <x:c r="D27" s="6" t="str">
        <x:v>Reject unsupported targets and mismatched or stale artifacts; do not interpret this inherited row as passed.</x:v>
      </x:c>
      <x:c r="E27" s="6" t="str">
        <x:v>G01</x:v>
      </x:c>
      <x:c r="F27" s="6" t="str">
        <x:v>acceptance</x:v>
      </x:c>
      <x:c r="G27" s="6" t="str"/>
    </x:row>
    <x:row r="28" ht="88" customHeight="1">
      <x:c r="A28" s="6" t="str">
        <x:v>E03</x:v>
      </x:c>
      <x:c r="B28" s="6" t="str">
        <x:v>Vendor neutrality</x:v>
      </x:c>
      <x:c r="C28" s="6" t="str">
        <x:v>Operation-specific tests and independent evidence; utility tests do not qualify native/UI/hardware behaviour.</x:v>
      </x:c>
      <x:c r="D28" s="6" t="str">
        <x:v>Reject unsupported targets and mismatched or stale artifacts; do not interpret this inherited row as passed.</x:v>
      </x:c>
      <x:c r="E28" s="6" t="str">
        <x:v>G01</x:v>
      </x:c>
      <x:c r="F28" s="6" t="str">
        <x:v>acceptance</x:v>
      </x:c>
      <x:c r="G28" s="6" t="str"/>
    </x:row>
    <x:row r="29" ht="88" customHeight="1">
      <x:c r="A29" s="6" t="str">
        <x:v>E04</x:v>
      </x:c>
      <x:c r="B29" s="6" t="str">
        <x:v>Graphics fallback</x:v>
      </x:c>
      <x:c r="C29" s="6" t="str">
        <x:v>Operation-specific tests and independent evidence; utility tests do not qualify native/UI/hardware behaviour.</x:v>
      </x:c>
      <x:c r="D29" s="6" t="str">
        <x:v>Reject unsupported targets and mismatched or stale artifacts; do not interpret this inherited row as passed.</x:v>
      </x:c>
      <x:c r="E29" s="6" t="str">
        <x:v>G01</x:v>
      </x:c>
      <x:c r="F29" s="6" t="str">
        <x:v>acceptance</x:v>
      </x:c>
      <x:c r="G29" s="6" t="str"/>
    </x:row>
    <x:row r="30" ht="88" customHeight="1">
      <x:c r="A30" s="6" t="str">
        <x:v>E05</x:v>
      </x:c>
      <x:c r="B30" s="6" t="str">
        <x:v>Core footprint</x:v>
      </x:c>
      <x:c r="C30" s="6" t="str">
        <x:v>Operation-specific tests and independent evidence; utility tests do not qualify native/UI/hardware behaviour.</x:v>
      </x:c>
      <x:c r="D30" s="6" t="str">
        <x:v>Reject unsupported targets and mismatched or stale artifacts; do not interpret this inherited row as passed.</x:v>
      </x:c>
      <x:c r="E30" s="6" t="str">
        <x:v>G01</x:v>
      </x:c>
      <x:c r="F30" s="6" t="str">
        <x:v>acceptance</x:v>
      </x:c>
      <x:c r="G30" s="6" t="str"/>
    </x:row>
    <x:row r="31" ht="88" customHeight="1">
      <x:c r="A31" s="6" t="str">
        <x:v>E06</x:v>
      </x:c>
      <x:c r="B31" s="6" t="str">
        <x:v>Source preservation</x:v>
      </x:c>
      <x:c r="C31" s="6" t="str">
        <x:v>Operation-specific tests and independent evidence; utility tests do not qualify native/UI/hardware behaviour.</x:v>
      </x:c>
      <x:c r="D31" s="6" t="str">
        <x:v>Reject unsupported targets and mismatched or stale artifacts; do not interpret this inherited row as passed.</x:v>
      </x:c>
      <x:c r="E31" s="6" t="str">
        <x:v>G01</x:v>
      </x:c>
      <x:c r="F31" s="6" t="str">
        <x:v>acceptance</x:v>
      </x:c>
      <x:c r="G31" s="6" t="str"/>
    </x:row>
    <x:row r="32" ht="88" customHeight="1">
      <x:c r="A32" s="6" t="str">
        <x:v>E07</x:v>
      </x:c>
      <x:c r="B32" s="6" t="str">
        <x:v>Original versus editable</x:v>
      </x:c>
      <x:c r="C32" s="6" t="str">
        <x:v>Operation-specific tests and independent evidence; utility tests do not qualify native/UI/hardware behaviour.</x:v>
      </x:c>
      <x:c r="D32" s="6" t="str">
        <x:v>Reject unsupported targets and mismatched or stale artifacts; do not interpret this inherited row as passed.</x:v>
      </x:c>
      <x:c r="E32" s="6" t="str">
        <x:v>G01</x:v>
      </x:c>
      <x:c r="F32" s="6" t="str">
        <x:v>acceptance</x:v>
      </x:c>
      <x:c r="G32" s="6" t="str"/>
    </x:row>
    <x:row r="33" ht="88" customHeight="1">
      <x:c r="A33" s="6" t="str">
        <x:v>E08</x:v>
      </x:c>
      <x:c r="B33" s="6" t="str">
        <x:v>Source versus DST</x:v>
      </x:c>
      <x:c r="C33" s="6" t="str">
        <x:v>Operation-specific tests and independent evidence; utility tests do not qualify native/UI/hardware behaviour.</x:v>
      </x:c>
      <x:c r="D33" s="6" t="str">
        <x:v>Reject unsupported targets and mismatched or stale artifacts; do not interpret this inherited row as passed.</x:v>
      </x:c>
      <x:c r="E33" s="6" t="str">
        <x:v>G01</x:v>
      </x:c>
      <x:c r="F33" s="6" t="str">
        <x:v>acceptance</x:v>
      </x:c>
      <x:c r="G33" s="6" t="str"/>
    </x:row>
    <x:row r="34" ht="88" customHeight="1">
      <x:c r="A34" s="6" t="str">
        <x:v>E09</x:v>
      </x:c>
      <x:c r="B34" s="6" t="str">
        <x:v>PDF source</x:v>
      </x:c>
      <x:c r="C34" s="6" t="str">
        <x:v>Operation-specific tests and independent evidence; utility tests do not qualify native/UI/hardware behaviour.</x:v>
      </x:c>
      <x:c r="D34" s="6" t="str">
        <x:v>Reject unsupported targets and mismatched or stale artifacts; do not interpret this inherited row as passed.</x:v>
      </x:c>
      <x:c r="E34" s="6" t="str">
        <x:v>G01</x:v>
      </x:c>
      <x:c r="F34" s="6" t="str">
        <x:v>acceptance</x:v>
      </x:c>
      <x:c r="G34" s="6" t="str"/>
    </x:row>
    <x:row r="35" ht="88" customHeight="1">
      <x:c r="A35" s="6" t="str">
        <x:v>E10</x:v>
      </x:c>
      <x:c r="B35" s="6" t="str">
        <x:v>PDF proof</x:v>
      </x:c>
      <x:c r="C35" s="6" t="str">
        <x:v>Operation-specific tests and independent evidence; utility tests do not qualify native/UI/hardware behaviour.</x:v>
      </x:c>
      <x:c r="D35" s="6" t="str">
        <x:v>Reject unsupported targets and mismatched or stale artifacts; do not interpret this inherited row as passed.</x:v>
      </x:c>
      <x:c r="E35" s="6" t="str">
        <x:v>G01</x:v>
      </x:c>
      <x:c r="F35" s="6" t="str">
        <x:v>acceptance</x:v>
      </x:c>
      <x:c r="G35" s="6" t="str"/>
    </x:row>
    <x:row r="36" ht="88" customHeight="1">
      <x:c r="A36" s="6" t="str">
        <x:v>E11</x:v>
      </x:c>
      <x:c r="B36" s="6" t="str">
        <x:v>Actual-size print</x:v>
      </x:c>
      <x:c r="C36" s="6" t="str">
        <x:v>Operation-specific tests and independent evidence; utility tests do not qualify native/UI/hardware behaviour.</x:v>
      </x:c>
      <x:c r="D36" s="6" t="str">
        <x:v>Reject unsupported targets and mismatched or stale artifacts; do not interpret this inherited row as passed.</x:v>
      </x:c>
      <x:c r="E36" s="6" t="str">
        <x:v>G01</x:v>
      </x:c>
      <x:c r="F36" s="6" t="str">
        <x:v>acceptance</x:v>
      </x:c>
      <x:c r="G36" s="6" t="str"/>
    </x:row>
    <x:row r="37" ht="88" customHeight="1">
      <x:c r="A37" s="6" t="str">
        <x:v>E12</x:v>
      </x:c>
      <x:c r="B37" s="6" t="str">
        <x:v>Linked comparisons</x:v>
      </x:c>
      <x:c r="C37" s="6" t="str">
        <x:v>Operation-specific tests and independent evidence; utility tests do not qualify native/UI/hardware behaviour.</x:v>
      </x:c>
      <x:c r="D37" s="6" t="str">
        <x:v>Reject unsupported targets and mismatched or stale artifacts; do not interpret this inherited row as passed.</x:v>
      </x:c>
      <x:c r="E37" s="6" t="str">
        <x:v>G01</x:v>
      </x:c>
      <x:c r="F37" s="6" t="str">
        <x:v>acceptance</x:v>
      </x:c>
      <x:c r="G37" s="6" t="str"/>
    </x:row>
    <x:row r="38" ht="88" customHeight="1">
      <x:c r="A38" s="6" t="str">
        <x:v>E13</x:v>
      </x:c>
      <x:c r="B38" s="6" t="str">
        <x:v>Raster formats</x:v>
      </x:c>
      <x:c r="C38" s="6" t="str">
        <x:v>Operation-specific tests and independent evidence; utility tests do not qualify native/UI/hardware behaviour.</x:v>
      </x:c>
      <x:c r="D38" s="6" t="str">
        <x:v>Reject unsupported targets and mismatched or stale artifacts; do not interpret this inherited row as passed.</x:v>
      </x:c>
      <x:c r="E38" s="6" t="str">
        <x:v>G01</x:v>
      </x:c>
      <x:c r="F38" s="6" t="str">
        <x:v>acceptance</x:v>
      </x:c>
      <x:c r="G38" s="6" t="str"/>
    </x:row>
    <x:row r="39" ht="88" customHeight="1">
      <x:c r="A39" s="6" t="str">
        <x:v>E14</x:v>
      </x:c>
      <x:c r="B39" s="6" t="str">
        <x:v>Vector formats</x:v>
      </x:c>
      <x:c r="C39" s="6" t="str">
        <x:v>Operation-specific tests and independent evidence; utility tests do not qualify native/UI/hardware behaviour.</x:v>
      </x:c>
      <x:c r="D39" s="6" t="str">
        <x:v>Reject unsupported targets and mismatched or stale artifacts; do not interpret this inherited row as passed.</x:v>
      </x:c>
      <x:c r="E39" s="6" t="str">
        <x:v>G01</x:v>
      </x:c>
      <x:c r="F39" s="6" t="str">
        <x:v>acceptance</x:v>
      </x:c>
      <x:c r="G39" s="6" t="str"/>
    </x:row>
    <x:row r="40" ht="88" customHeight="1">
      <x:c r="A40" s="6" t="str">
        <x:v>E15</x:v>
      </x:c>
      <x:c r="B40" s="6" t="str">
        <x:v>Embroidery formats</x:v>
      </x:c>
      <x:c r="C40" s="6" t="str">
        <x:v>Operation-specific tests and independent evidence; utility tests do not qualify native/UI/hardware behaviour.</x:v>
      </x:c>
      <x:c r="D40" s="6" t="str">
        <x:v>Reject unsupported targets and mismatched or stale artifacts; do not interpret this inherited row as passed.</x:v>
      </x:c>
      <x:c r="E40" s="6" t="str">
        <x:v>G01</x:v>
      </x:c>
      <x:c r="F40" s="6" t="str">
        <x:v>acceptance</x:v>
      </x:c>
      <x:c r="G40" s="6" t="str"/>
    </x:row>
    <x:row r="41" ht="88" customHeight="1">
      <x:c r="A41" s="6" t="str">
        <x:v>E16</x:v>
      </x:c>
      <x:c r="B41" s="6" t="str">
        <x:v>DTS ambiguity</x:v>
      </x:c>
      <x:c r="C41" s="6" t="str">
        <x:v>Operation-specific tests and independent evidence; utility tests do not qualify native/UI/hardware behaviour.</x:v>
      </x:c>
      <x:c r="D41" s="6" t="str">
        <x:v>Reject unsupported targets and mismatched or stale artifacts; do not interpret this inherited row as passed.</x:v>
      </x:c>
      <x:c r="E41" s="6" t="str">
        <x:v>G01</x:v>
      </x:c>
      <x:c r="F41" s="6" t="str">
        <x:v>acceptance</x:v>
      </x:c>
      <x:c r="G41" s="6" t="str"/>
    </x:row>
    <x:row r="42" ht="88" customHeight="1">
      <x:c r="A42" s="6" t="str">
        <x:v>E17</x:v>
      </x:c>
      <x:c r="B42" s="6" t="str">
        <x:v>Scanner adapters</x:v>
      </x:c>
      <x:c r="C42" s="6" t="str">
        <x:v>Operation-specific tests and independent evidence; utility tests do not qualify native/UI/hardware behaviour.</x:v>
      </x:c>
      <x:c r="D42" s="6" t="str">
        <x:v>Reject unsupported targets and mismatched or stale artifacts; do not interpret this inherited row as passed.</x:v>
      </x:c>
      <x:c r="E42" s="6" t="str">
        <x:v>G01</x:v>
      </x:c>
      <x:c r="F42" s="6" t="str">
        <x:v>acceptance</x:v>
      </x:c>
      <x:c r="G42" s="6" t="str"/>
    </x:row>
    <x:row r="43" ht="88" customHeight="1">
      <x:c r="A43" s="6" t="str">
        <x:v>E18</x:v>
      </x:c>
      <x:c r="B43" s="6" t="str">
        <x:v>Legacy driver bitness</x:v>
      </x:c>
      <x:c r="C43" s="6" t="str">
        <x:v>Operation-specific tests and independent evidence; utility tests do not qualify native/UI/hardware behaviour.</x:v>
      </x:c>
      <x:c r="D43" s="6" t="str">
        <x:v>Reject unsupported targets and mismatched or stale artifacts; do not interpret this inherited row as passed.</x:v>
      </x:c>
      <x:c r="E43" s="6" t="str">
        <x:v>G01</x:v>
      </x:c>
      <x:c r="F43" s="6" t="str">
        <x:v>acceptance</x:v>
      </x:c>
      <x:c r="G43" s="6" t="str"/>
    </x:row>
    <x:row r="44" ht="88" customHeight="1">
      <x:c r="A44" s="6" t="str">
        <x:v>E19</x:v>
      </x:c>
      <x:c r="B44" s="6" t="str">
        <x:v>Pen input</x:v>
      </x:c>
      <x:c r="C44" s="6" t="str">
        <x:v>Operation-specific tests and independent evidence; utility tests do not qualify native/UI/hardware behaviour.</x:v>
      </x:c>
      <x:c r="D44" s="6" t="str">
        <x:v>Reject unsupported targets and mismatched or stale artifacts; do not interpret this inherited row as passed.</x:v>
      </x:c>
      <x:c r="E44" s="6" t="str">
        <x:v>G01</x:v>
      </x:c>
      <x:c r="F44" s="6" t="str">
        <x:v>acceptance</x:v>
      </x:c>
      <x:c r="G44" s="6" t="str"/>
    </x:row>
    <x:row r="45" ht="88" customHeight="1">
      <x:c r="A45" s="6" t="str">
        <x:v>E20</x:v>
      </x:c>
      <x:c r="B45" s="6" t="str">
        <x:v>Print adapters</x:v>
      </x:c>
      <x:c r="C45" s="6" t="str">
        <x:v>Operation-specific tests and independent evidence; utility tests do not qualify native/UI/hardware behaviour.</x:v>
      </x:c>
      <x:c r="D45" s="6" t="str">
        <x:v>Reject unsupported targets and mismatched or stale artifacts; do not interpret this inherited row as passed.</x:v>
      </x:c>
      <x:c r="E45" s="6" t="str">
        <x:v>G01</x:v>
      </x:c>
      <x:c r="F45" s="6" t="str">
        <x:v>acceptance</x:v>
      </x:c>
      <x:c r="G45" s="6" t="str"/>
    </x:row>
    <x:row r="46" ht="88" customHeight="1">
      <x:c r="A46" s="6" t="str">
        <x:v>E21</x:v>
      </x:c>
      <x:c r="B46" s="6" t="str">
        <x:v>AI providers</x:v>
      </x:c>
      <x:c r="C46" s="6" t="str">
        <x:v>Operation-specific tests and independent evidence; utility tests do not qualify native/UI/hardware behaviour.</x:v>
      </x:c>
      <x:c r="D46" s="6" t="str">
        <x:v>Reject unsupported targets and mismatched or stale artifacts; do not interpret this inherited row as passed.</x:v>
      </x:c>
      <x:c r="E46" s="6" t="str">
        <x:v>G01</x:v>
      </x:c>
      <x:c r="F46" s="6" t="str">
        <x:v>acceptance</x:v>
      </x:c>
      <x:c r="G46" s="6" t="str"/>
    </x:row>
    <x:row r="47" ht="88" customHeight="1">
      <x:c r="A47" s="6" t="str">
        <x:v>E22</x:v>
      </x:c>
      <x:c r="B47" s="6" t="str">
        <x:v>No local-AI prerequisite</x:v>
      </x:c>
      <x:c r="C47" s="6" t="str">
        <x:v>Operation-specific tests and independent evidence; utility tests do not qualify native/UI/hardware behaviour.</x:v>
      </x:c>
      <x:c r="D47" s="6" t="str">
        <x:v>Reject unsupported targets and mismatched or stale artifacts; do not interpret this inherited row as passed.</x:v>
      </x:c>
      <x:c r="E47" s="6" t="str">
        <x:v>G01</x:v>
      </x:c>
      <x:c r="F47" s="6" t="str">
        <x:v>acceptance</x:v>
      </x:c>
      <x:c r="G47" s="6" t="str"/>
    </x:row>
    <x:row r="48" ht="88" customHeight="1">
      <x:c r="A48" s="6" t="str">
        <x:v>E23</x:v>
      </x:c>
      <x:c r="B48" s="6" t="str">
        <x:v>AI authority separation</x:v>
      </x:c>
      <x:c r="C48" s="6" t="str">
        <x:v>Operation-specific tests and independent evidence; utility tests do not qualify native/UI/hardware behaviour.</x:v>
      </x:c>
      <x:c r="D48" s="6" t="str">
        <x:v>Reject unsupported targets and mismatched or stale artifacts; do not interpret this inherited row as passed.</x:v>
      </x:c>
      <x:c r="E48" s="6" t="str">
        <x:v>G01</x:v>
      </x:c>
      <x:c r="F48" s="6" t="str">
        <x:v>acceptance</x:v>
      </x:c>
      <x:c r="G48" s="6" t="str"/>
    </x:row>
    <x:row r="49" ht="88" customHeight="1">
      <x:c r="A49" s="6" t="str">
        <x:v>E24</x:v>
      </x:c>
      <x:c r="B49" s="6" t="str">
        <x:v>Legacy machines</x:v>
      </x:c>
      <x:c r="C49" s="6" t="str">
        <x:v>Operation-specific tests and independent evidence; utility tests do not qualify native/UI/hardware behaviour.</x:v>
      </x:c>
      <x:c r="D49" s="6" t="str">
        <x:v>Reject unsupported targets and mismatched or stale artifacts; do not interpret this inherited row as passed.</x:v>
      </x:c>
      <x:c r="E49" s="6" t="str">
        <x:v>G01</x:v>
      </x:c>
      <x:c r="F49" s="6" t="str">
        <x:v>acceptance</x:v>
      </x:c>
      <x:c r="G49" s="6" t="str"/>
    </x:row>
    <x:row r="50" ht="88" customHeight="1">
      <x:c r="A50" s="6" t="str">
        <x:v>E25</x:v>
      </x:c>
      <x:c r="B50" s="6" t="str">
        <x:v>Calibration scope</x:v>
      </x:c>
      <x:c r="C50" s="6" t="str">
        <x:v>Operation-specific tests and independent evidence; utility tests do not qualify native/UI/hardware behaviour.</x:v>
      </x:c>
      <x:c r="D50" s="6" t="str">
        <x:v>Reject unsupported targets and mismatched or stale artifacts; do not interpret this inherited row as passed.</x:v>
      </x:c>
      <x:c r="E50" s="6" t="str">
        <x:v>G01</x:v>
      </x:c>
      <x:c r="F50" s="6" t="str">
        <x:v>acceptance</x:v>
      </x:c>
      <x:c r="G50" s="6" t="str"/>
    </x:row>
    <x:row r="51" ht="88" customHeight="1">
      <x:c r="A51" s="6" t="str">
        <x:v>E26</x:v>
      </x:c>
      <x:c r="B51" s="6" t="str">
        <x:v>Provenance and stale views</x:v>
      </x:c>
      <x:c r="C51" s="6" t="str">
        <x:v>Operation-specific tests and independent evidence; utility tests do not qualify native/UI/hardware behaviour.</x:v>
      </x:c>
      <x:c r="D51" s="6" t="str">
        <x:v>Reject unsupported targets and mismatched or stale artifacts; do not interpret this inherited row as passed.</x:v>
      </x:c>
      <x:c r="E51" s="6" t="str">
        <x:v>G01</x:v>
      </x:c>
      <x:c r="F51" s="6" t="str">
        <x:v>acceptance</x:v>
      </x:c>
      <x:c r="G51" s="6" t="str"/>
    </x:row>
    <x:row r="52" ht="88" customHeight="1">
      <x:c r="A52" s="6" t="str">
        <x:v>E27</x:v>
      </x:c>
      <x:c r="B52" s="6" t="str">
        <x:v>Resource isolation</x:v>
      </x:c>
      <x:c r="C52" s="6" t="str">
        <x:v>Operation-specific tests and independent evidence; utility tests do not qualify native/UI/hardware behaviour.</x:v>
      </x:c>
      <x:c r="D52" s="6" t="str">
        <x:v>Reject unsupported targets and mismatched or stale artifacts; do not interpret this inherited row as passed.</x:v>
      </x:c>
      <x:c r="E52" s="6" t="str">
        <x:v>G01</x:v>
      </x:c>
      <x:c r="F52" s="6" t="str">
        <x:v>acceptance</x:v>
      </x:c>
      <x:c r="G52" s="6" t="str"/>
    </x:row>
    <x:row r="53" ht="88" customHeight="1">
      <x:c r="A53" s="6" t="str">
        <x:v>E28</x:v>
      </x:c>
      <x:c r="B53" s="6" t="str">
        <x:v>Deterministic export</x:v>
      </x:c>
      <x:c r="C53" s="6" t="str">
        <x:v>Operation-specific tests and independent evidence; utility tests do not qualify native/UI/hardware behaviour.</x:v>
      </x:c>
      <x:c r="D53" s="6" t="str">
        <x:v>Reject unsupported targets and mismatched or stale artifacts; do not interpret this inherited row as passed.</x:v>
      </x:c>
      <x:c r="E53" s="6" t="str">
        <x:v>G01</x:v>
      </x:c>
      <x:c r="F53" s="6" t="str">
        <x:v>acceptance</x:v>
      </x:c>
      <x:c r="G53" s="6" t="str"/>
    </x:row>
    <x:row r="54" ht="88" customHeight="1">
      <x:c r="A54" s="6" t="str">
        <x:v>E29</x:v>
      </x:c>
      <x:c r="B54" s="6" t="str">
        <x:v>Accessibility</x:v>
      </x:c>
      <x:c r="C54" s="6" t="str">
        <x:v>Operation-specific tests and independent evidence; utility tests do not qualify native/UI/hardware behaviour.</x:v>
      </x:c>
      <x:c r="D54" s="6" t="str">
        <x:v>Reject unsupported targets and mismatched or stale artifacts; do not interpret this inherited row as passed.</x:v>
      </x:c>
      <x:c r="E54" s="6" t="str">
        <x:v>G01</x:v>
      </x:c>
      <x:c r="F54" s="6" t="str">
        <x:v>acceptance</x:v>
      </x:c>
      <x:c r="G54" s="6" t="str"/>
    </x:row>
    <x:row r="55" ht="88" customHeight="1">
      <x:c r="A55" s="6" t="str">
        <x:v>E30</x:v>
      </x:c>
      <x:c r="B55" s="6" t="str">
        <x:v>Conformance scope</x:v>
      </x:c>
      <x:c r="C55" s="6" t="str">
        <x:v>Operation-specific tests and independent evidence; utility tests do not qualify native/UI/hardware behaviour.</x:v>
      </x:c>
      <x:c r="D55" s="6" t="str">
        <x:v>Reject unsupported targets and mismatched or stale artifacts; do not interpret this inherited row as passed.</x:v>
      </x:c>
      <x:c r="E55" s="6" t="str">
        <x:v>G01</x:v>
      </x:c>
      <x:c r="F55" s="6" t="str">
        <x:v>acceptance</x:v>
      </x:c>
      <x:c r="G55" s="6" t="str"/>
    </x:row>
    <x:row r="56" ht="88" customHeight="1">
      <x:c r="A56" s="6" t="str">
        <x:v>G01</x:v>
      </x:c>
      <x:c r="B56" s="6" t="str">
        <x:v>Native M1 acceptance</x:v>
      </x:c>
      <x:c r="C56" s="6" t="str">
        <x:v>Edit source geometry; compile in Rust; download exact bytes; replay decoded events in both views.</x:v>
      </x:c>
      <x:c r="D56" s="6" t="str">
        <x:v>An absent engine or a fixture runner must fail the native gate.</x:v>
      </x:c>
      <x:c r="E56" s="6" t="str"/>
      <x:c r="F56" s="6" t="str">
        <x:v>native_e2e</x:v>
      </x:c>
      <x:c r="G56" s="6" t="str"/>
    </x:row>
    <x:row r="57" ht="88" customHeight="1">
      <x:c r="A57" s="6" t="str">
        <x:v>G02</x:v>
      </x:c>
      <x:c r="B57" s="6" t="str">
        <x:v>Robust geometry and explicit units</x:v>
      </x:c>
      <x:c r="C57" s="6" t="str">
        <x:v>Golden concave/holed/sliver cases meet predeclared geometric tolerance and preserve holes.</x:v>
      </x:c>
      <x:c r="D57" s="6" t="str">
        <x:v>Self-intersections, tiny offsets and exhausted budgets return typed errors, not partial exports.</x:v>
      </x:c>
      <x:c r="E57" s="6" t="str">
        <x:v>G01</x:v>
      </x:c>
      <x:c r="F57" s="6" t="str">
        <x:v>generate, validate</x:v>
      </x:c>
      <x:c r="G57" s="6" t="str"/>
    </x:row>
    <x:row r="58" ht="88" customHeight="1">
      <x:c r="A58" s="6" t="str">
        <x:v>G03</x:v>
      </x:c>
      <x:c r="B58" s="6" t="str">
        <x:v>Immutable original and linked actual outputs</x:v>
      </x:c>
      <x:c r="C58" s="6" t="str">
        <x:v>Every pane exposes the selected artifact hash and registration; edit invalidates affected approvals.</x:v>
      </x:c>
      <x:c r="D58" s="6" t="str">
        <x:v>A cached view from an older revision cannot be exported or approved as current.</x:v>
      </x:c>
      <x:c r="E58" s="6" t="str">
        <x:v>G01</x:v>
      </x:c>
      <x:c r="F58" s="6" t="str">
        <x:v>view, revision_test</x:v>
      </x:c>
      <x:c r="G58" s="6" t="str"/>
    </x:row>
    <x:row r="59" ht="88" customHeight="1">
      <x:c r="A59" s="6" t="str">
        <x:v>G04</x:v>
      </x:c>
      <x:c r="B59" s="6" t="str">
        <x:v>Operation-scoped capability evidence</x:v>
      </x:c>
      <x:c r="C59" s="6" t="str">
        <x:v>Only independently approved evidence matching operation/build/profile promotes a scoped acceptance record.</x:v>
      </x:c>
      <x:c r="D59" s="6" t="str">
        <x:v>A dropdown, compiler enum, sample screenshot or transport acknowledgment cannot set physical_qualified.</x:v>
      </x:c>
      <x:c r="E59" s="6" t="str"/>
      <x:c r="F59" s="6" t="str">
        <x:v>policy_test</x:v>
      </x:c>
      <x:c r="G59" s="6" t="str"/>
    </x:row>
    <x:row r="60" ht="88" customHeight="1">
      <x:c r="A60" s="6" t="str">
        <x:v>G05</x:v>
      </x:c>
      <x:c r="B60" s="6" t="str">
        <x:v>Artifact kind and typed backend dispatch</x:v>
      </x:c>
      <x:c r="C60" s="6" t="str">
        <x:v>Routing selects a qualified backend for artifact kind + requested operation + profile.</x:v>
      </x:c>
      <x:c r="D60" s="6" t="str">
        <x:v>FCM cutting or decorative sewing requests cannot silently route to the DST writer.</x:v>
      </x:c>
      <x:c r="E60" s="6" t="str">
        <x:v>G04</x:v>
      </x:c>
      <x:c r="F60" s="6" t="str">
        <x:v>routing_test</x:v>
      </x:c>
      <x:c r="G60" s="6" t="str"/>
    </x:row>
    <x:row r="61" ht="88" customHeight="1">
      <x:c r="A61" s="6" t="str">
        <x:v>SRC01</x:v>
      </x:c>
      <x:c r="B61" s="6" t="str">
        <x:v>Embird: more than 70 formats; over 20 brands</x:v>
      </x:c>
      <x:c r="C61" s="6" t="str">
        <x:v>Publish the counted list and per-adapter read, write, preview, semantic-loss and acceptance tests.</x:v>
      </x:c>
      <x:c r="D61" s="6" t="str">
        <x:v>Do not count aliases as independent capabilities or infer write support from read support.</x:v>
      </x:c>
      <x:c r="E61" s="6" t="str">
        <x:v>G01, G02</x:v>
      </x:c>
      <x:c r="F61" s="6" t="str">
        <x:v>inventory, import, export</x:v>
      </x:c>
      <x:c r="G61" s="6" t="str"/>
    </x:row>
    <x:row r="62" ht="88" customHeight="1">
      <x:c r="A62" s="6" t="str">
        <x:v>SRC02</x:v>
      </x:c>
      <x:c r="B62" s="6" t="str">
        <x:v>Creator and DesignerPlus tiers</x:v>
      </x:c>
      <x:c r="C62" s="6" t="str">
        <x:v>Role/task mapping documents the covered workflow independent of commercial product packaging.</x:v>
      </x:c>
      <x:c r="D62" s="6" t="str">
        <x:v>Reject an unsupported input or configuration; preserve source and previous revision on failure.</x:v>
      </x:c>
      <x:c r="E62" s="6" t="str">
        <x:v>G01, G02</x:v>
      </x:c>
      <x:c r="F62" s="6" t="str">
        <x:v>workflow_test</x:v>
      </x:c>
      <x:c r="G62" s="6" t="str"/>
    </x:row>
    <x:row r="63" ht="88" customHeight="1">
      <x:c r="A63" s="6" t="str">
        <x:v>SRC03</x:v>
      </x:c>
      <x:c r="B63" s="6" t="str">
        <x:v>Approachable bitmap/vector digitising; sequencing</x:v>
      </x:c>
      <x:c r="C63" s="6" t="str">
        <x:v>An intermediate user completes guided bitmap/vector intake, editing and sequence review.</x:v>
      </x:c>
      <x:c r="D63" s="6" t="str">
        <x:v>Reject an unsupported input or configuration; preserve source and previous revision on failure.</x:v>
      </x:c>
      <x:c r="E63" s="6" t="str">
        <x:v>G01, G02</x:v>
      </x:c>
      <x:c r="F63" s="6" t="str">
        <x:v>acceptance</x:v>
      </x:c>
      <x:c r="G63" s="6" t="str"/>
    </x:row>
    <x:row r="64" ht="88" customHeight="1">
      <x:c r="A64" s="6" t="str">
        <x:v>SRC04</x:v>
      </x:c>
      <x:c r="B64" s="6" t="str">
        <x:v>2026 commercial tools and cloud Workspace</x:v>
      </x:c>
      <x:c r="C64" s="6" t="str">
        <x:v>Reopen and compare a saved edit, converted file and library revision across two authorised clients.</x:v>
      </x:c>
      <x:c r="D64" s="6" t="str">
        <x:v>Do not claim that every desktop tool is present in the cloud or in this build.</x:v>
      </x:c>
      <x:c r="E64" s="6" t="str">
        <x:v>G01, G02</x:v>
      </x:c>
      <x:c r="F64" s="6" t="str">
        <x:v>view, edit, export, revision_test</x:v>
      </x:c>
      <x:c r="G64" s="6" t="str"/>
    </x:row>
    <x:row r="65" ht="88" customHeight="1">
      <x:c r="A65" s="6" t="str">
        <x:v>SRC05</x:v>
      </x:c>
      <x:c r="B65" s="6" t="str">
        <x:v>Font count variants: 100, 130 and hundreds</x:v>
      </x:c>
      <x:c r="C65" s="6" t="str">
        <x:v>Inventory distinguishes digitised families, glyphs, imported outline fonts, monogram layouts and small-text subsets.</x:v>
      </x:c>
      <x:c r="D65" s="6" t="str">
        <x:v>Do not combine conflicting totals, count glyphs as fonts or silently replace a supplied claim.</x:v>
      </x:c>
      <x:c r="E65" s="6" t="str">
        <x:v>G01, G02</x:v>
      </x:c>
      <x:c r="F65" s="6" t="str">
        <x:v>inventory</x:v>
      </x:c>
      <x:c r="G65" s="6" t="str"/>
    </x:row>
    <x:row r="66" ht="88" customHeight="1">
      <x:c r="A66" s="6" t="str">
        <x:v>C01</x:v>
      </x:c>
      <x:c r="B66" s="6" t="str">
        <x:v>Creative Blog: inspiration and tutorials</x:v>
      </x:c>
      <x:c r="C66" s="6" t="str">
        <x:v>Open a lesson, reproduce its versioned project and resume the saved step.</x:v>
      </x:c>
      <x:c r="D66" s="6" t="str">
        <x:v>Reject an unsupported input or configuration; preserve source and previous revision on failure.</x:v>
      </x:c>
      <x:c r="E66" s="6" t="str">
        <x:v>G03, G04</x:v>
      </x:c>
      <x:c r="F66" s="6" t="str">
        <x:v>workflow_test</x:v>
      </x:c>
      <x:c r="G66" s="6" t="str"/>
    </x:row>
    <x:row r="67" ht="88" customHeight="1">
      <x:c r="A67" s="6" t="str">
        <x:v>C02</x:v>
      </x:c>
      <x:c r="B67" s="6" t="str">
        <x:v>Free projects and monthly exclusive patterns</x:v>
      </x:c>
      <x:c r="C67" s="6" t="str">
        <x:v>Publish a dated collection manifest; revoked/unavailable items remain traceable.</x:v>
      </x:c>
      <x:c r="D67" s="6" t="str">
        <x:v>Reject an unsupported input or configuration; preserve source and previous revision on failure.</x:v>
      </x:c>
      <x:c r="E67" s="6" t="str">
        <x:v>G03, G04</x:v>
      </x:c>
      <x:c r="F67" s="6" t="str">
        <x:v>workflow_test</x:v>
      </x:c>
      <x:c r="G67" s="6" t="str"/>
    </x:row>
    <x:row r="68" ht="88" customHeight="1">
      <x:c r="A68" s="6" t="str">
        <x:v>C03</x:v>
      </x:c>
      <x:c r="B68" s="6" t="str">
        <x:v>Artspira-style mobile drawing</x:v>
      </x:c>
      <x:c r="C68" s="6" t="str">
        <x:v>Create a curve on a phone, reopen it on desktop and preserve coordinates/pressure when available.</x:v>
      </x:c>
      <x:c r="D68" s="6" t="str">
        <x:v>Reject an unsupported input or configuration; preserve source and previous revision on failure.</x:v>
      </x:c>
      <x:c r="E68" s="6" t="str">
        <x:v>G03, G04</x:v>
      </x:c>
      <x:c r="F68" s="6" t="str">
        <x:v>workflow_test</x:v>
      </x:c>
      <x:c r="G68" s="6" t="str"/>
    </x:row>
    <x:row r="69" ht="88" customHeight="1">
      <x:c r="A69" s="6" t="str">
        <x:v>C04</x:v>
      </x:c>
      <x:c r="B69" s="6" t="str">
        <x:v>Phone/tablet library and patterns</x:v>
      </x:c>
      <x:c r="C69" s="6" t="str">
        <x:v>Filter by material/hoop/skill, open a project and restore its assets and parameters.</x:v>
      </x:c>
      <x:c r="D69" s="6" t="str">
        <x:v>Reject an unsupported input or configuration; preserve source and previous revision on failure.</x:v>
      </x:c>
      <x:c r="E69" s="6" t="str">
        <x:v>G03, G04</x:v>
      </x:c>
      <x:c r="F69" s="6" t="str">
        <x:v>workflow_test</x:v>
      </x:c>
      <x:c r="G69" s="6" t="str"/>
    </x:row>
    <x:row r="70" ht="88" customHeight="1">
      <x:c r="A70" s="6" t="str">
        <x:v>C05</x:v>
      </x:c>
      <x:c r="B70" s="6" t="str">
        <x:v>Compatible wireless machine transfer from mobile</x:v>
      </x:c>
      <x:c r="C70" s="6" t="str">
        <x:v>Select a real supported target; trace artifact receipt without auto-start.</x:v>
      </x:c>
      <x:c r="D70" s="6" t="str">
        <x:v>Reject an unsupported input or configuration; preserve source and previous revision on failure.</x:v>
      </x:c>
      <x:c r="E70" s="6" t="str">
        <x:v>G03, G04</x:v>
      </x:c>
      <x:c r="F70" s="6" t="str">
        <x:v>workflow_test</x:v>
      </x:c>
      <x:c r="G70" s="6" t="str"/>
    </x:row>
    <x:row r="71" ht="88" customHeight="1">
      <x:c r="A71" s="6" t="str">
        <x:v>C06</x:v>
      </x:c>
      <x:c r="B71" s="6" t="str">
        <x:v>More than 1000 built-in designs</x:v>
      </x:c>
      <x:c r="C71" s="6" t="str">
        <x:v>Every counted design has licence, source, editable data, version and QC scope; duplicates are excluded.</x:v>
      </x:c>
      <x:c r="D71" s="6" t="str">
        <x:v>Reject an unsupported input or configuration; preserve source and previous revision on failure.</x:v>
      </x:c>
      <x:c r="E71" s="6" t="str">
        <x:v>G03, G04</x:v>
      </x:c>
      <x:c r="F71" s="6" t="str">
        <x:v>workflow_test</x:v>
      </x:c>
      <x:c r="G71" s="6" t="str"/>
    </x:row>
    <x:row r="72" ht="88" customHeight="1">
      <x:c r="A72" s="6" t="str">
        <x:v>C07</x:v>
      </x:c>
      <x:c r="B72" s="6" t="str">
        <x:v>Template Function</x:v>
      </x:c>
      <x:c r="C72" s="6" t="str">
        <x:v>Populate a template, regenerate and save a distinct revision without changing the template.</x:v>
      </x:c>
      <x:c r="D72" s="6" t="str">
        <x:v>Reject an unsupported input or configuration; preserve source and previous revision on failure.</x:v>
      </x:c>
      <x:c r="E72" s="6" t="str">
        <x:v>G03, G04</x:v>
      </x:c>
      <x:c r="F72" s="6" t="str">
        <x:v>workflow_test</x:v>
      </x:c>
      <x:c r="G72" s="6" t="str"/>
    </x:row>
    <x:row r="73" ht="88" customHeight="1">
      <x:c r="A73" s="6" t="str">
        <x:v>C08</x:v>
      </x:c>
      <x:c r="B73" s="6" t="str">
        <x:v>Online Manual</x:v>
      </x:c>
      <x:c r="C73" s="6" t="str">
        <x:v>A tool links to the correct deployed-version page and exposes an offline fallback.</x:v>
      </x:c>
      <x:c r="D73" s="6" t="str">
        <x:v>Reject an unsupported input or configuration; preserve source and previous revision on failure.</x:v>
      </x:c>
      <x:c r="E73" s="6" t="str">
        <x:v>G03, G04</x:v>
      </x:c>
      <x:c r="F73" s="6" t="str">
        <x:v>workflow_test</x:v>
      </x:c>
      <x:c r="G73" s="6" t="str"/>
    </x:row>
    <x:row r="74" ht="88" customHeight="1">
      <x:c r="A74" s="6" t="str">
        <x:v>C09</x:v>
      </x:c>
      <x:c r="B74" s="6" t="str">
        <x:v>Design Center and Design Database</x:v>
      </x:c>
      <x:c r="C74" s="6" t="str">
        <x:v>Recover a named original and each derived format by ID/hash, not only filename.</x:v>
      </x:c>
      <x:c r="D74" s="6" t="str">
        <x:v>Reject an unsupported input or configuration; preserve source and previous revision on failure.</x:v>
      </x:c>
      <x:c r="E74" s="6" t="str">
        <x:v>G03, G04</x:v>
      </x:c>
      <x:c r="F74" s="6" t="str">
        <x:v>workflow_test</x:v>
      </x:c>
      <x:c r="G74" s="6" t="str"/>
    </x:row>
    <x:row r="75" ht="88" customHeight="1">
      <x:c r="A75" s="6" t="str">
        <x:v>C10</x:v>
      </x:c>
      <x:c r="B75" s="6" t="str">
        <x:v>Advanced User Interface; intermediate/expert</x:v>
      </x:c>
      <x:c r="C75" s="6" t="str">
        <x:v>Test the same core task in guided and expert modes without hiding safety findings.</x:v>
      </x:c>
      <x:c r="D75" s="6" t="str">
        <x:v>Reject an unsupported input or configuration; preserve source and previous revision on failure.</x:v>
      </x:c>
      <x:c r="E75" s="6" t="str">
        <x:v>G03, G04</x:v>
      </x:c>
      <x:c r="F75" s="6" t="str">
        <x:v>workflow_test</x:v>
      </x:c>
      <x:c r="G75" s="6" t="str"/>
    </x:row>
    <x:row r="76" ht="88" customHeight="1">
      <x:c r="A76" s="6" t="str">
        <x:v>C11</x:v>
      </x:c>
      <x:c r="B76" s="6" t="str">
        <x:v>Applications: 7</x:v>
      </x:c>
      <x:c r="C76" s="6" t="str">
        <x:v>Studio, artwork, pattern, lettering, library, transfer and sewing-pattern tasks share one project identity.</x:v>
      </x:c>
      <x:c r="D76" s="6" t="str">
        <x:v>Reject an unsupported input or configuration; preserve source and previous revision on failure.</x:v>
      </x:c>
      <x:c r="E76" s="6" t="str">
        <x:v>G03, G04</x:v>
      </x:c>
      <x:c r="F76" s="6" t="str">
        <x:v>workflow_test</x:v>
      </x:c>
      <x:c r="G76" s="6" t="str"/>
    </x:row>
    <x:row r="77" ht="88" customHeight="1">
      <x:c r="A77" s="6" t="str">
        <x:v>A01</x:v>
      </x:c>
      <x:c r="B77" s="6" t="str">
        <x:v>Design, convert, edit and scan</x:v>
      </x:c>
      <x:c r="C77" s="6" t="str">
        <x:v>A 1:1 source can be aligned and compared without modifying its bytes.</x:v>
      </x:c>
      <x:c r="D77" s="6" t="str">
        <x:v>Reject an unsupported input or configuration; preserve source and previous revision on failure.</x:v>
      </x:c>
      <x:c r="E77" s="6" t="str">
        <x:v>G01, G02, G03, G04</x:v>
      </x:c>
      <x:c r="F77" s="6" t="str">
        <x:v>generate, view</x:v>
      </x:c>
      <x:c r="G77" s="6" t="str"/>
    </x:row>
    <x:row r="78" ht="88" customHeight="1">
      <x:c r="A78" s="6" t="str">
        <x:v>A02</x:v>
      </x:c>
      <x:c r="B78" s="6" t="str">
        <x:v>Convert own images into photo stitching</x:v>
      </x:c>
      <x:c r="C78" s="6" t="str">
        <x:v>Show source, segmentation, editable objects, actual export and estimated limits side by side.</x:v>
      </x:c>
      <x:c r="D78" s="6" t="str">
        <x:v>Reject an unsupported input or configuration; preserve source and previous revision on failure.</x:v>
      </x:c>
      <x:c r="E78" s="6" t="str">
        <x:v>G01, G02, G03, G04</x:v>
      </x:c>
      <x:c r="F78" s="6" t="str">
        <x:v>generate, view</x:v>
      </x:c>
      <x:c r="G78" s="6" t="str"/>
    </x:row>
    <x:row r="79" ht="88" customHeight="1">
      <x:c r="A79" s="6" t="str">
        <x:v>A03</x:v>
      </x:c>
      <x:c r="B79" s="6" t="str">
        <x:v>Auto Punch; improved image tracing</x:v>
      </x:c>
      <x:c r="C79" s="6" t="str">
        <x:v>A held-out logo set retains holes and colour masks; low-confidence areas require review.</x:v>
      </x:c>
      <x:c r="D79" s="6" t="str">
        <x:v>Reject an unsupported input or configuration; preserve source and previous revision on failure.</x:v>
      </x:c>
      <x:c r="E79" s="6" t="str">
        <x:v>G01, G02, G03, G04</x:v>
      </x:c>
      <x:c r="F79" s="6" t="str">
        <x:v>generate, view</x:v>
      </x:c>
      <x:c r="G79" s="6" t="str"/>
    </x:row>
    <x:row r="80" ht="88" customHeight="1">
      <x:c r="A80" s="6" t="str">
        <x:v>A04</x:v>
      </x:c>
      <x:c r="B80" s="6" t="str">
        <x:v>Image Color Tune</x:v>
      </x:c>
      <x:c r="C80" s="6" t="str">
        <x:v>Undo returns the exact previous settings; original bytes remain unchanged.</x:v>
      </x:c>
      <x:c r="D80" s="6" t="str">
        <x:v>Reject an unsupported input or configuration; preserve source and previous revision on failure.</x:v>
      </x:c>
      <x:c r="E80" s="6" t="str">
        <x:v>G01, G02, G03, G04</x:v>
      </x:c>
      <x:c r="F80" s="6" t="str">
        <x:v>generate, view</x:v>
      </x:c>
      <x:c r="G80" s="6" t="str"/>
    </x:row>
    <x:row r="81" ht="88" customHeight="1">
      <x:c r="A81" s="6" t="str">
        <x:v>A05</x:v>
      </x:c>
      <x:c r="B81" s="6" t="str">
        <x:v>Mask Select</x:v>
      </x:c>
      <x:c r="C81" s="6" t="str">
        <x:v>Mask holes remain empty; changing a mask invalidates downstream artifacts.</x:v>
      </x:c>
      <x:c r="D81" s="6" t="str">
        <x:v>Reject an unsupported input or configuration; preserve source and previous revision on failure.</x:v>
      </x:c>
      <x:c r="E81" s="6" t="str">
        <x:v>G01, G02, G03, G04</x:v>
      </x:c>
      <x:c r="F81" s="6" t="str">
        <x:v>generate, view</x:v>
      </x:c>
      <x:c r="G81" s="6" t="str"/>
    </x:row>
    <x:row r="82" ht="88" customHeight="1">
      <x:c r="A82" s="6" t="str">
        <x:v>A06</x:v>
      </x:c>
      <x:c r="B82" s="6" t="str">
        <x:v>Photo Stitch1 (Complex Type)</x:v>
      </x:c>
      <x:c r="C82" s="6" t="str">
        <x:v>Preserve declared detail under a fixed budget and compare blind stitch-outs at matched size.</x:v>
      </x:c>
      <x:c r="D82" s="6" t="str">
        <x:v>Reject an unsupported input or configuration; preserve source and previous revision on failure.</x:v>
      </x:c>
      <x:c r="E82" s="6" t="str">
        <x:v>G01, G02, G03, G04</x:v>
      </x:c>
      <x:c r="F82" s="6" t="str">
        <x:v>generate, view</x:v>
      </x:c>
      <x:c r="G82" s="6" t="str"/>
    </x:row>
    <x:row r="83" ht="88" customHeight="1">
      <x:c r="A83" s="6" t="str">
        <x:v>A07</x:v>
      </x:c>
      <x:c r="B83" s="6" t="str">
        <x:v>Photo Stitch2 (Simple Type)</x:v>
      </x:c>
      <x:c r="C83" s="6" t="str">
        <x:v>Simplification has an observable parameter change and respects the declared budget.</x:v>
      </x:c>
      <x:c r="D83" s="6" t="str">
        <x:v>Reject an unsupported input or configuration; preserve source and previous revision on failure.</x:v>
      </x:c>
      <x:c r="E83" s="6" t="str">
        <x:v>G01, G02, G03, G04</x:v>
      </x:c>
      <x:c r="F83" s="6" t="str">
        <x:v>generate, view</x:v>
      </x:c>
      <x:c r="G83" s="6" t="str"/>
    </x:row>
    <x:row r="84" ht="88" customHeight="1">
      <x:c r="A84" s="6" t="str">
        <x:v>A08</x:v>
      </x:c>
      <x:c r="B84" s="6" t="str">
        <x:v>Vector Image Conversion</x:v>
      </x:c>
      <x:c r="C84" s="6" t="str">
        <x:v>Test cubic curves, fills, holes, transforms and unsupported vector effects.</x:v>
      </x:c>
      <x:c r="D84" s="6" t="str">
        <x:v>Reject an unsupported input or configuration; preserve source and previous revision on failure.</x:v>
      </x:c>
      <x:c r="E84" s="6" t="str">
        <x:v>G01, G02, G03, G04</x:v>
      </x:c>
      <x:c r="F84" s="6" t="str">
        <x:v>generate, view</x:v>
      </x:c>
      <x:c r="G84" s="6" t="str"/>
    </x:row>
    <x:row r="85" ht="88" customHeight="1">
      <x:c r="A85" s="6" t="str">
        <x:v>A09</x:v>
      </x:c>
      <x:c r="B85" s="6" t="str">
        <x:v>Cross Stitch image conversion</x:v>
      </x:c>
      <x:c r="C85" s="6" t="str">
        <x:v>Grid count, scale, colour and resulting crosses match the declared cell plan.</x:v>
      </x:c>
      <x:c r="D85" s="6" t="str">
        <x:v>Reject an unsupported input or configuration; preserve source and previous revision on failure.</x:v>
      </x:c>
      <x:c r="E85" s="6" t="str">
        <x:v>G01, G02, G03, G04</x:v>
      </x:c>
      <x:c r="F85" s="6" t="str">
        <x:v>generate, view</x:v>
      </x:c>
      <x:c r="G85" s="6" t="str"/>
    </x:row>
    <x:row r="86" ht="88" customHeight="1">
      <x:c r="A86" s="6" t="str">
        <x:v>A10</x:v>
      </x:c>
      <x:c r="B86" s="6" t="str">
        <x:v>Prompt any design; scan/paste/upload/web (continuity)</x:v>
      </x:c>
      <x:c r="C86" s="6" t="str">
        <x:v>Prompt changes are reviewable diffs; unsupported requests are blocked rather than silently substituted.</x:v>
      </x:c>
      <x:c r="D86" s="6" t="str">
        <x:v>Reject an unsupported input or configuration; preserve source and previous revision on failure.</x:v>
      </x:c>
      <x:c r="E86" s="6" t="str">
        <x:v>G01, G02, G03, G04</x:v>
      </x:c>
      <x:c r="F86" s="6" t="str">
        <x:v>generate, view</x:v>
      </x:c>
      <x:c r="G86" s="6" t="str"/>
    </x:row>
    <x:row r="87" ht="88" customHeight="1">
      <x:c r="A87" s="6" t="str">
        <x:v>D01</x:v>
      </x:c>
      <x:c r="B87" s="6" t="str">
        <x:v>Heart, Star, etc: 30</x:v>
      </x:c>
      <x:c r="C87" s="6" t="str">
        <x:v>Save/reopen the edited geometry; undo/redo is lossless; decoded export stays within the declared geometric tolerance.</x:v>
      </x:c>
      <x:c r="D87" s="6" t="str">
        <x:v>Reject an unsupported input or configuration; preserve source and previous revision on failure.</x:v>
      </x:c>
      <x:c r="E87" s="6" t="str">
        <x:v>G01, G02, G03</x:v>
      </x:c>
      <x:c r="F87" s="6" t="str">
        <x:v>edit, generate</x:v>
      </x:c>
      <x:c r="G87" s="6" t="str"/>
    </x:row>
    <x:row r="88" ht="88" customHeight="1">
      <x:c r="A88" s="6" t="str">
        <x:v>D02</x:v>
      </x:c>
      <x:c r="B88" s="6" t="str">
        <x:v>Line/Curve/Freehand</x:v>
      </x:c>
      <x:c r="C88" s="6" t="str">
        <x:v>Save/reopen the edited geometry; undo/redo is lossless; decoded export stays within the declared geometric tolerance.</x:v>
      </x:c>
      <x:c r="D88" s="6" t="str">
        <x:v>Reject an unsupported input or configuration; preserve source and previous revision on failure.</x:v>
      </x:c>
      <x:c r="E88" s="6" t="str">
        <x:v>G01, G02, G03</x:v>
      </x:c>
      <x:c r="F88" s="6" t="str">
        <x:v>edit, generate</x:v>
      </x:c>
      <x:c r="G88" s="6" t="str"/>
    </x:row>
    <x:row r="89" ht="88" customHeight="1">
      <x:c r="A89" s="6" t="str">
        <x:v>D03</x:v>
      </x:c>
      <x:c r="B89" s="6" t="str">
        <x:v>Manual Punch</x:v>
      </x:c>
      <x:c r="C89" s="6" t="str">
        <x:v>Save/reopen the edited geometry; undo/redo is lossless; decoded export stays within the declared geometric tolerance.</x:v>
      </x:c>
      <x:c r="D89" s="6" t="str">
        <x:v>Reject an unsupported input or configuration; preserve source and previous revision on failure.</x:v>
      </x:c>
      <x:c r="E89" s="6" t="str">
        <x:v>G01, G02, G03</x:v>
      </x:c>
      <x:c r="F89" s="6" t="str">
        <x:v>edit, generate</x:v>
      </x:c>
      <x:c r="G89" s="6" t="str"/>
    </x:row>
    <x:row r="90" ht="88" customHeight="1">
      <x:c r="A90" s="6" t="str">
        <x:v>D04</x:v>
      </x:c>
      <x:c r="B90" s="6" t="str">
        <x:v>Rectangle, Circle</x:v>
      </x:c>
      <x:c r="C90" s="6" t="str">
        <x:v>Save/reopen the edited geometry; undo/redo is lossless; decoded export stays within the declared geometric tolerance.</x:v>
      </x:c>
      <x:c r="D90" s="6" t="str">
        <x:v>Reject an unsupported input or configuration; preserve source and previous revision on failure.</x:v>
      </x:c>
      <x:c r="E90" s="6" t="str">
        <x:v>G01, G02, G03</x:v>
      </x:c>
      <x:c r="F90" s="6" t="str">
        <x:v>edit, generate</x:v>
      </x:c>
      <x:c r="G90" s="6" t="str"/>
    </x:row>
    <x:row r="91" ht="88" customHeight="1">
      <x:c r="A91" s="6" t="str">
        <x:v>D05</x:v>
      </x:c>
      <x:c r="B91" s="6" t="str">
        <x:v>Object alignment</x:v>
      </x:c>
      <x:c r="C91" s="6" t="str">
        <x:v>Save/reopen the edited geometry; undo/redo is lossless; decoded export stays within the declared geometric tolerance.</x:v>
      </x:c>
      <x:c r="D91" s="6" t="str">
        <x:v>Reject an unsupported input or configuration; preserve source and previous revision on failure.</x:v>
      </x:c>
      <x:c r="E91" s="6" t="str">
        <x:v>G01, G02, G03</x:v>
      </x:c>
      <x:c r="F91" s="6" t="str">
        <x:v>edit, generate</x:v>
      </x:c>
      <x:c r="G91" s="6" t="str"/>
    </x:row>
    <x:row r="92" ht="88" customHeight="1">
      <x:c r="A92" s="6" t="str">
        <x:v>ED01</x:v>
      </x:c>
      <x:c r="B92" s="6" t="str">
        <x:v>Applique Wizard</x:v>
      </x:c>
      <x:c r="C92" s="6" t="str">
        <x:v>Check stage order, allowance and material settings; unknown cutter profile blocks cutting.</x:v>
      </x:c>
      <x:c r="D92" s="6" t="str">
        <x:v>Reject an unsupported input or configuration; preserve source and previous revision on failure.</x:v>
      </x:c>
      <x:c r="E92" s="6" t="str">
        <x:v>G01, G02</x:v>
      </x:c>
      <x:c r="F92" s="6" t="str">
        <x:v>edit, generate, validate</x:v>
      </x:c>
      <x:c r="G92" s="6" t="str"/>
    </x:row>
    <x:row r="93" ht="88" customHeight="1">
      <x:c r="A93" s="6" t="str">
        <x:v>ED02</x:v>
      </x:c>
      <x:c r="B93" s="6" t="str">
        <x:v>Background Fill Wizard</x:v>
      </x:c>
      <x:c r="C93" s="6" t="str">
        <x:v>Fixtures include touching motifs, islands and exclusion margins; no unwanted penetration in masked areas.</x:v>
      </x:c>
      <x:c r="D93" s="6" t="str">
        <x:v>Reject an unsupported input or configuration; preserve source and previous revision on failure.</x:v>
      </x:c>
      <x:c r="E93" s="6" t="str">
        <x:v>G01, G02</x:v>
      </x:c>
      <x:c r="F93" s="6" t="str">
        <x:v>edit, generate, validate</x:v>
      </x:c>
      <x:c r="G93" s="6" t="str"/>
    </x:row>
    <x:row r="94" ht="88" customHeight="1">
      <x:c r="A94" s="6" t="str">
        <x:v>ED03</x:v>
      </x:c>
      <x:c r="B94" s="6" t="str">
        <x:v>Circle Copy</x:v>
      </x:c>
      <x:c r="C94" s="6" t="str">
        <x:v>Copies occur at the requested transforms; changing one linked source regenerates dependants.</x:v>
      </x:c>
      <x:c r="D94" s="6" t="str">
        <x:v>Reject an unsupported input or configuration; preserve source and previous revision on failure.</x:v>
      </x:c>
      <x:c r="E94" s="6" t="str">
        <x:v>G01, G02</x:v>
      </x:c>
      <x:c r="F94" s="6" t="str">
        <x:v>edit, generate, validate</x:v>
      </x:c>
      <x:c r="G94" s="6" t="str"/>
    </x:row>
    <x:row r="95" ht="88" customHeight="1">
      <x:c r="A95" s="6" t="str">
        <x:v>ED04</x:v>
      </x:c>
      <x:c r="B95" s="6" t="str">
        <x:v>Convert Region to Line</x:v>
      </x:c>
      <x:c r="C95" s="6" t="str">
        <x:v>User sees the conversion mode; disconnected and degenerate results require review.</x:v>
      </x:c>
      <x:c r="D95" s="6" t="str">
        <x:v>Reject an unsupported input or configuration; preserve source and previous revision on failure.</x:v>
      </x:c>
      <x:c r="E95" s="6" t="str">
        <x:v>G01, G02</x:v>
      </x:c>
      <x:c r="F95" s="6" t="str">
        <x:v>edit, generate, validate</x:v>
      </x:c>
      <x:c r="G95" s="6" t="str"/>
    </x:row>
    <x:row r="96" ht="88" customHeight="1">
      <x:c r="A96" s="6" t="str">
        <x:v>ED05</x:v>
      </x:c>
      <x:c r="B96" s="6" t="str">
        <x:v>Convert Stitch to Outline</x:v>
      </x:c>
      <x:c r="C96" s="6" t="str">
        <x:v>Original records remain available; reconstructed shape is not labelled exact source recovery.</x:v>
      </x:c>
      <x:c r="D96" s="6" t="str">
        <x:v>Reject an unsupported input or configuration; preserve source and previous revision on failure.</x:v>
      </x:c>
      <x:c r="E96" s="6" t="str">
        <x:v>G01, G02</x:v>
      </x:c>
      <x:c r="F96" s="6" t="str">
        <x:v>edit, generate, validate</x:v>
      </x:c>
      <x:c r="G96" s="6" t="str"/>
    </x:row>
    <x:row r="97" ht="88" customHeight="1">
      <x:c r="A97" s="6" t="str">
        <x:v>ED06</x:v>
      </x:c>
      <x:c r="B97" s="6" t="str">
        <x:v>Convert Text to Outline</x:v>
      </x:c>
      <x:c r="C97" s="6" t="str">
        <x:v>Glyph shaping and positioning remain correct; no silent loss of combining marks.</x:v>
      </x:c>
      <x:c r="D97" s="6" t="str">
        <x:v>Reject an unsupported input or configuration; preserve source and previous revision on failure.</x:v>
      </x:c>
      <x:c r="E97" s="6" t="str">
        <x:v>G01, G02</x:v>
      </x:c>
      <x:c r="F97" s="6" t="str">
        <x:v>edit, generate, validate</x:v>
      </x:c>
      <x:c r="G97" s="6" t="str"/>
    </x:row>
    <x:row r="98" ht="88" customHeight="1">
      <x:c r="A98" s="6" t="str">
        <x:v>ED07</x:v>
      </x:c>
      <x:c r="B98" s="6" t="str">
        <x:v>Curved Direction Line</x:v>
      </x:c>
      <x:c r="C98" s="6" t="str">
        <x:v>Test singularities, adjacent guides and narrow corners with typed failure outputs.</x:v>
      </x:c>
      <x:c r="D98" s="6" t="str">
        <x:v>Reject an unsupported input or configuration; preserve source and previous revision on failure.</x:v>
      </x:c>
      <x:c r="E98" s="6" t="str">
        <x:v>G01, G02</x:v>
      </x:c>
      <x:c r="F98" s="6" t="str">
        <x:v>edit, generate, validate</x:v>
      </x:c>
      <x:c r="G98" s="6" t="str"/>
    </x:row>
    <x:row r="99" ht="88" customHeight="1">
      <x:c r="A99" s="6" t="str">
        <x:v>ED08</x:v>
      </x:c>
      <x:c r="B99" s="6" t="str">
        <x:v>Direction Line Editing</x:v>
      </x:c>
      <x:c r="C99" s="6" t="str">
        <x:v>Change a guide and verify that affected stitch direction changes while unrelated objects are unchanged.</x:v>
      </x:c>
      <x:c r="D99" s="6" t="str">
        <x:v>Reject an unsupported input or configuration; preserve source and previous revision on failure.</x:v>
      </x:c>
      <x:c r="E99" s="6" t="str">
        <x:v>G01, G02</x:v>
      </x:c>
      <x:c r="F99" s="6" t="str">
        <x:v>edit, generate, validate</x:v>
      </x:c>
      <x:c r="G99" s="6" t="str"/>
    </x:row>
    <x:row r="100" ht="88" customHeight="1">
      <x:c r="A100" s="6" t="str">
        <x:v>ED09</x:v>
      </x:c>
      <x:c r="B100" s="6" t="str">
        <x:v>Embossing/Engraving</x:v>
      </x:c>
      <x:c r="C100" s="6" t="str">
        <x:v>Stamp geometry alters stitch topology/direction and stays inside density limits.</x:v>
      </x:c>
      <x:c r="D100" s="6" t="str">
        <x:v>Reject an unsupported input or configuration; preserve source and previous revision on failure.</x:v>
      </x:c>
      <x:c r="E100" s="6" t="str">
        <x:v>G01, G02</x:v>
      </x:c>
      <x:c r="F100" s="6" t="str">
        <x:v>edit, generate, validate</x:v>
      </x:c>
      <x:c r="G100" s="6" t="str"/>
    </x:row>
    <x:row r="101" ht="88" customHeight="1">
      <x:c r="A101" s="6" t="str">
        <x:v>ED10</x:v>
      </x:c>
      <x:c r="B101" s="6" t="str">
        <x:v>Embroidered Patch wizard</x:v>
      </x:c>
      <x:c r="C101" s="6" t="str">
        <x:v>Cut geometry and embroidery align in millimetres and keep separate artifact identities.</x:v>
      </x:c>
      <x:c r="D101" s="6" t="str">
        <x:v>Reject an unsupported input or configuration; preserve source and previous revision on failure.</x:v>
      </x:c>
      <x:c r="E101" s="6" t="str">
        <x:v>G01, G02</x:v>
      </x:c>
      <x:c r="F101" s="6" t="str">
        <x:v>edit, generate, validate</x:v>
      </x:c>
      <x:c r="G101" s="6" t="str"/>
    </x:row>
    <x:row r="102" ht="88" customHeight="1">
      <x:c r="A102" s="6" t="str">
        <x:v>ED11</x:v>
      </x:c>
      <x:c r="B102" s="6" t="str">
        <x:v>Cutwork Wizard</x:v>
      </x:c>
      <x:c r="C102" s="6" t="str">
        <x:v>Unsupported needle/tool configuration blocks export; operator steps remain visible.</x:v>
      </x:c>
      <x:c r="D102" s="6" t="str">
        <x:v>Reject an unsupported input or configuration; preserve source and previous revision on failure.</x:v>
      </x:c>
      <x:c r="E102" s="6" t="str">
        <x:v>G01, G02</x:v>
      </x:c>
      <x:c r="F102" s="6" t="str">
        <x:v>edit, generate, validate</x:v>
      </x:c>
      <x:c r="G102" s="6" t="str"/>
    </x:row>
    <x:row r="103" ht="88" customHeight="1">
      <x:c r="A103" s="6" t="str">
        <x:v>ED12</x:v>
      </x:c>
      <x:c r="B103" s="6" t="str">
        <x:v>Floral Line</x:v>
      </x:c>
      <x:c r="C103" s="6" t="str">
        <x:v>Curvature, motif spacing and endpoint handling avoid unbounded overlap.</x:v>
      </x:c>
      <x:c r="D103" s="6" t="str">
        <x:v>Reject an unsupported input or configuration; preserve source and previous revision on failure.</x:v>
      </x:c>
      <x:c r="E103" s="6" t="str">
        <x:v>G01, G02</x:v>
      </x:c>
      <x:c r="F103" s="6" t="str">
        <x:v>edit, generate, validate</x:v>
      </x:c>
      <x:c r="G103" s="6" t="str"/>
    </x:row>
    <x:row r="104" ht="88" customHeight="1">
      <x:c r="A104" s="6" t="str">
        <x:v>ED13</x:v>
      </x:c>
      <x:c r="B104" s="6" t="str">
        <x:v>Keep Density of Stitch Patterns</x:v>
      </x:c>
      <x:c r="C104" s="6" t="str">
        <x:v>At specified scales, measure generated density and reveal cases where native intent is absent.</x:v>
      </x:c>
      <x:c r="D104" s="6" t="str">
        <x:v>Reject an unsupported input or configuration; preserve source and previous revision on failure.</x:v>
      </x:c>
      <x:c r="E104" s="6" t="str">
        <x:v>G01, G02</x:v>
      </x:c>
      <x:c r="F104" s="6" t="str">
        <x:v>edit, generate, validate</x:v>
      </x:c>
      <x:c r="G104" s="6" t="str"/>
    </x:row>
    <x:row r="105" ht="88" customHeight="1">
      <x:c r="A105" s="6" t="str">
        <x:v>ED14</x:v>
      </x:c>
      <x:c r="B105" s="6" t="str">
        <x:v>Lock Function</x:v>
      </x:c>
      <x:c r="C105" s="6" t="str">
        <x:v>Direct manipulation, numeric editing and AI proposals all respect object locks.</x:v>
      </x:c>
      <x:c r="D105" s="6" t="str">
        <x:v>Reject an unsupported input or configuration; preserve source and previous revision on failure.</x:v>
      </x:c>
      <x:c r="E105" s="6" t="str">
        <x:v>G01, G02</x:v>
      </x:c>
      <x:c r="F105" s="6" t="str">
        <x:v>edit, generate, validate</x:v>
      </x:c>
      <x:c r="G105" s="6" t="str"/>
    </x:row>
    <x:row r="106" ht="88" customHeight="1">
      <x:c r="A106" s="6" t="str">
        <x:v>ED15</x:v>
      </x:c>
      <x:c r="B106" s="6" t="str">
        <x:v>Matrix Copy</x:v>
      </x:c>
      <x:c r="C106" s="6" t="str">
        <x:v>Bounds and counts match; overlapping or out-of-hoop results produce findings.</x:v>
      </x:c>
      <x:c r="D106" s="6" t="str">
        <x:v>Reject an unsupported input or configuration; preserve source and previous revision on failure.</x:v>
      </x:c>
      <x:c r="E106" s="6" t="str">
        <x:v>G01, G02</x:v>
      </x:c>
      <x:c r="F106" s="6" t="str">
        <x:v>edit, generate, validate</x:v>
      </x:c>
      <x:c r="G106" s="6" t="str"/>
    </x:row>
    <x:row r="107" ht="88" customHeight="1">
      <x:c r="A107" s="6" t="str">
        <x:v>ED16</x:v>
      </x:c>
      <x:c r="B107" s="6" t="str">
        <x:v>Mirror Copy</x:v>
      </x:c>
      <x:c r="C107" s="6" t="str">
        <x:v>Orientation-dependent attributes transform or warn; undo restores source identity.</x:v>
      </x:c>
      <x:c r="D107" s="6" t="str">
        <x:v>Reject an unsupported input or configuration; preserve source and previous revision on failure.</x:v>
      </x:c>
      <x:c r="E107" s="6" t="str">
        <x:v>G01, G02</x:v>
      </x:c>
      <x:c r="F107" s="6" t="str">
        <x:v>edit, generate, validate</x:v>
      </x:c>
      <x:c r="G107" s="6" t="str"/>
    </x:row>
    <x:row r="108" ht="88" customHeight="1">
      <x:c r="A108" s="6" t="str">
        <x:v>ED17</x:v>
      </x:c>
      <x:c r="B108" s="6" t="str">
        <x:v>Offset Line</x:v>
      </x:c>
      <x:c r="C108" s="6" t="str">
        <x:v>Concave corners, self-crossings and offset collapse are handled or rejected explicitly.</x:v>
      </x:c>
      <x:c r="D108" s="6" t="str">
        <x:v>Reject an unsupported input or configuration; preserve source and previous revision on failure.</x:v>
      </x:c>
      <x:c r="E108" s="6" t="str">
        <x:v>G01, G02</x:v>
      </x:c>
      <x:c r="F108" s="6" t="str">
        <x:v>edit, generate, validate</x:v>
      </x:c>
      <x:c r="G108" s="6" t="str"/>
    </x:row>
    <x:row r="109" ht="88" customHeight="1">
      <x:c r="A109" s="6" t="str">
        <x:v>ED18</x:v>
      </x:c>
      <x:c r="B109" s="6" t="str">
        <x:v>Point Editing</x:v>
      </x:c>
      <x:c r="C109" s="6" t="str">
        <x:v>Move a point, undo/redo and reopen; geometry and revision changes match.</x:v>
      </x:c>
      <x:c r="D109" s="6" t="str">
        <x:v>Reject an unsupported input or configuration; preserve source and previous revision on failure.</x:v>
      </x:c>
      <x:c r="E109" s="6" t="str">
        <x:v>G01, G02</x:v>
      </x:c>
      <x:c r="F109" s="6" t="str">
        <x:v>edit, generate, validate</x:v>
      </x:c>
      <x:c r="G109" s="6" t="str"/>
    </x:row>
    <x:row r="110" ht="88" customHeight="1">
      <x:c r="A110" s="6" t="str">
        <x:v>ED19</x:v>
      </x:c>
      <x:c r="B110" s="6" t="str">
        <x:v>Remove Overlapping</x:v>
      </x:c>
      <x:c r="C110" s="6" t="str">
        <x:v>Removal never deletes necessary underlay or tack-down without an explicit strategy.</x:v>
      </x:c>
      <x:c r="D110" s="6" t="str">
        <x:v>Reject an unsupported input or configuration; preserve source and previous revision on failure.</x:v>
      </x:c>
      <x:c r="E110" s="6" t="str">
        <x:v>G01, G02</x:v>
      </x:c>
      <x:c r="F110" s="6" t="str">
        <x:v>edit, generate, validate</x:v>
      </x:c>
      <x:c r="G110" s="6" t="str"/>
    </x:row>
    <x:row r="111" ht="88" customHeight="1">
      <x:c r="A111" s="6" t="str">
        <x:v>ED20</x:v>
      </x:c>
      <x:c r="B111" s="6" t="str">
        <x:v>Merge</x:v>
      </x:c>
      <x:c r="C111" s="6" t="str">
        <x:v>Thread/tool conflicts and incompatible stitch parameters require a resolution.</x:v>
      </x:c>
      <x:c r="D111" s="6" t="str">
        <x:v>Reject an unsupported input or configuration; preserve source and previous revision on failure.</x:v>
      </x:c>
      <x:c r="E111" s="6" t="str">
        <x:v>G01, G02</x:v>
      </x:c>
      <x:c r="F111" s="6" t="str">
        <x:v>edit, generate, validate</x:v>
      </x:c>
      <x:c r="G111" s="6" t="str"/>
    </x:row>
    <x:row r="112" ht="88" customHeight="1">
      <x:c r="A112" s="6" t="str">
        <x:v>ED21</x:v>
      </x:c>
      <x:c r="B112" s="6" t="str">
        <x:v>Hole Sewing Setting</x:v>
      </x:c>
      <x:c r="C112" s="6" t="str">
        <x:v>No sewing enters protected holes; travel through holes follows an explicit policy.</x:v>
      </x:c>
      <x:c r="D112" s="6" t="str">
        <x:v>Reject an unsupported input or configuration; preserve source and previous revision on failure.</x:v>
      </x:c>
      <x:c r="E112" s="6" t="str">
        <x:v>G01, G02</x:v>
      </x:c>
      <x:c r="F112" s="6" t="str">
        <x:v>edit, generate, validate</x:v>
      </x:c>
      <x:c r="G112" s="6" t="str"/>
    </x:row>
    <x:row r="113" ht="88" customHeight="1">
      <x:c r="A113" s="6" t="str">
        <x:v>ED22</x:v>
      </x:c>
      <x:c r="B113" s="6" t="str">
        <x:v>Scale</x:v>
      </x:c>
      <x:c r="C113" s="6" t="str">
        <x:v>Scaling to 0.5x/1x/2x updates bounds and observes current width/density constraints.</x:v>
      </x:c>
      <x:c r="D113" s="6" t="str">
        <x:v>Reject an unsupported input or configuration; preserve source and previous revision on failure.</x:v>
      </x:c>
      <x:c r="E113" s="6" t="str">
        <x:v>G01, G02</x:v>
      </x:c>
      <x:c r="F113" s="6" t="str">
        <x:v>edit, generate, validate</x:v>
      </x:c>
      <x:c r="G113" s="6" t="str"/>
    </x:row>
    <x:row r="114" ht="88" customHeight="1">
      <x:c r="A114" s="6" t="str">
        <x:v>ED23</x:v>
      </x:c>
      <x:c r="B114" s="6" t="str">
        <x:v>Rotate</x:v>
      </x:c>
      <x:c r="C114" s="6" t="str">
        <x:v>Direction, bounds and point locations follow the same transform.</x:v>
      </x:c>
      <x:c r="D114" s="6" t="str">
        <x:v>Reject an unsupported input or configuration; preserve source and previous revision on failure.</x:v>
      </x:c>
      <x:c r="E114" s="6" t="str">
        <x:v>G01, G02</x:v>
      </x:c>
      <x:c r="F114" s="6" t="str">
        <x:v>edit, generate, validate</x:v>
      </x:c>
      <x:c r="G114" s="6" t="str"/>
    </x:row>
    <x:row r="115" ht="88" customHeight="1">
      <x:c r="A115" s="6" t="str">
        <x:v>ED24</x:v>
      </x:c>
      <x:c r="B115" s="6" t="str">
        <x:v>Flip</x:v>
      </x:c>
      <x:c r="C115" s="6" t="str">
        <x:v>Mirrored text and print-transfer artwork display warnings where relevant.</x:v>
      </x:c>
      <x:c r="D115" s="6" t="str">
        <x:v>Reject an unsupported input or configuration; preserve source and previous revision on failure.</x:v>
      </x:c>
      <x:c r="E115" s="6" t="str">
        <x:v>G01, G02</x:v>
      </x:c>
      <x:c r="F115" s="6" t="str">
        <x:v>edit, generate, validate</x:v>
      </x:c>
      <x:c r="G115" s="6" t="str"/>
    </x:row>
    <x:row r="116" ht="88" customHeight="1">
      <x:c r="A116" s="6" t="str">
        <x:v>ED25</x:v>
      </x:c>
      <x:c r="B116" s="6" t="str">
        <x:v>Sewing Order Optimization</x:v>
      </x:c>
      <x:c r="C116" s="6" t="str">
        <x:v>Lower travel does not violate ordering constraints; compare objective values and violations.</x:v>
      </x:c>
      <x:c r="D116" s="6" t="str">
        <x:v>Reject an unsupported input or configuration; preserve source and previous revision on failure.</x:v>
      </x:c>
      <x:c r="E116" s="6" t="str">
        <x:v>G01, G02</x:v>
      </x:c>
      <x:c r="F116" s="6" t="str">
        <x:v>edit, generate, validate</x:v>
      </x:c>
      <x:c r="G116" s="6" t="str"/>
    </x:row>
    <x:row r="117" ht="88" customHeight="1">
      <x:c r="A117" s="6" t="str">
        <x:v>ED26</x:v>
      </x:c>
      <x:c r="B117" s="6" t="str">
        <x:v>Splitting Off/Dividing Stitch Pattern</x:v>
      </x:c>
      <x:c r="C117" s="6" t="str">
        <x:v>Every original command or region has accounted ownership after splitting.</x:v>
      </x:c>
      <x:c r="D117" s="6" t="str">
        <x:v>Reject an unsupported input or configuration; preserve source and previous revision on failure.</x:v>
      </x:c>
      <x:c r="E117" s="6" t="str">
        <x:v>G01, G02</x:v>
      </x:c>
      <x:c r="F117" s="6" t="str">
        <x:v>edit, generate, validate</x:v>
      </x:c>
      <x:c r="G117" s="6" t="str"/>
    </x:row>
    <x:row r="118" ht="88" customHeight="1">
      <x:c r="A118" s="6" t="str">
        <x:v>ED27</x:v>
      </x:c>
      <x:c r="B118" s="6" t="str">
        <x:v>Stitch Point Editing</x:v>
      </x:c>
      <x:c r="C118" s="6" t="str">
        <x:v>All edited points revalidate; repaired plans retain original and delta provenance.</x:v>
      </x:c>
      <x:c r="D118" s="6" t="str">
        <x:v>Reject an unsupported input or configuration; preserve source and previous revision on failure.</x:v>
      </x:c>
      <x:c r="E118" s="6" t="str">
        <x:v>G01, G02</x:v>
      </x:c>
      <x:c r="F118" s="6" t="str">
        <x:v>edit, generate, validate</x:v>
      </x:c>
      <x:c r="G118" s="6" t="str"/>
    </x:row>
    <x:row r="119" ht="88" customHeight="1">
      <x:c r="A119" s="6" t="str">
        <x:v>ED28</x:v>
      </x:c>
      <x:c r="B119" s="6" t="str">
        <x:v>Stitch to Block function</x:v>
      </x:c>
      <x:c r="C119" s="6" t="str">
        <x:v>Show lost semantics, grouping confidence and original bytes; never promise exact reconstruction.</x:v>
      </x:c>
      <x:c r="D119" s="6" t="str">
        <x:v>Reject an unsupported input or configuration; preserve source and previous revision on failure.</x:v>
      </x:c>
      <x:c r="E119" s="6" t="str">
        <x:v>G01, G02</x:v>
      </x:c>
      <x:c r="F119" s="6" t="str">
        <x:v>edit, generate, validate</x:v>
      </x:c>
      <x:c r="G119" s="6" t="str"/>
    </x:row>
    <x:row r="120" ht="88" customHeight="1">
      <x:c r="A120" s="6" t="str">
        <x:v>F01</x:v>
      </x:c>
      <x:c r="B120" s="6" t="str">
        <x:v>130 fonts / 100 built-in / hundreds</x:v>
      </x:c>
      <x:c r="C120" s="6" t="str">
        <x:v>Count unique families, not glyphs, sizes or raw system fonts; publish scope and specimen evidence.</x:v>
      </x:c>
      <x:c r="D120" s="6" t="str">
        <x:v>Reject an unsupported input or configuration; preserve source and previous revision on failure.</x:v>
      </x:c>
      <x:c r="E120" s="6" t="str">
        <x:v>G01, G02, G03, G04</x:v>
      </x:c>
      <x:c r="F120" s="6" t="str">
        <x:v>generate, view, catalogue_qc</x:v>
      </x:c>
      <x:c r="G120" s="6" t="str"/>
    </x:row>
    <x:row r="121" ht="88" customHeight="1">
      <x:c r="A121" s="6" t="str">
        <x:v>F02</x:v>
      </x:c>
      <x:c r="B121" s="6" t="str">
        <x:v>Font filter</x:v>
      </x:c>
      <x:c r="C121" s="6" t="str">
        <x:v>A minimum-size filter excludes unqualified combinations rather than silently resizing text.</x:v>
      </x:c>
      <x:c r="D121" s="6" t="str">
        <x:v>Reject an unsupported input or configuration; preserve source and previous revision on failure.</x:v>
      </x:c>
      <x:c r="E121" s="6" t="str">
        <x:v>G01, G02, G03, G04</x:v>
      </x:c>
      <x:c r="F121" s="6" t="str">
        <x:v>generate, view, catalogue_qc</x:v>
      </x:c>
      <x:c r="G121" s="6" t="str"/>
    </x:row>
    <x:row r="122" ht="88" customHeight="1">
      <x:c r="A122" s="6" t="str">
        <x:v>F03</x:v>
      </x:c>
      <x:c r="B122" s="6" t="str">
        <x:v>Font Creator with font import</x:v>
      </x:c>
      <x:c r="C122" s="6" t="str">
        <x:v>Save/export/reopen a glyph set with metrics and original-source provenance.</x:v>
      </x:c>
      <x:c r="D122" s="6" t="str">
        <x:v>Reject an unsupported input or configuration; preserve source and previous revision on failure.</x:v>
      </x:c>
      <x:c r="E122" s="6" t="str">
        <x:v>G01, G02, G03, G04</x:v>
      </x:c>
      <x:c r="F122" s="6" t="str">
        <x:v>generate, view, catalogue_qc</x:v>
      </x:c>
      <x:c r="G122" s="6" t="str"/>
    </x:row>
    <x:row r="123" ht="88" customHeight="1">
      <x:c r="A123" s="6" t="str">
        <x:v>F04</x:v>
      </x:c>
      <x:c r="B123" s="6" t="str">
        <x:v>Font Mapping: register embroidery data as a font</x:v>
      </x:c>
      <x:c r="C123" s="6" t="str">
        <x:v>A mixed glyph string assembles correctly and flags missing characters.</x:v>
      </x:c>
      <x:c r="D123" s="6" t="str">
        <x:v>Reject an unsupported input or configuration; preserve source and previous revision on failure.</x:v>
      </x:c>
      <x:c r="E123" s="6" t="str">
        <x:v>G01, G02, G03, G04</x:v>
      </x:c>
      <x:c r="F123" s="6" t="str">
        <x:v>generate, view, catalogue_qc</x:v>
      </x:c>
      <x:c r="G123" s="6" t="str"/>
    </x:row>
    <x:row r="124" ht="88" customHeight="1">
      <x:c r="A124" s="6" t="str">
        <x:v>F05</x:v>
      </x:c>
      <x:c r="B124" s="6" t="str">
        <x:v>Monogram: 2</x:v>
      </x:c>
      <x:c r="C124" s="6" t="str">
        <x:v>Initial order, relative sizes and frame placement are preserved through export.</x:v>
      </x:c>
      <x:c r="D124" s="6" t="str">
        <x:v>Reject an unsupported input or configuration; preserve source and previous revision on failure.</x:v>
      </x:c>
      <x:c r="E124" s="6" t="str">
        <x:v>G01, G02, G03, G04</x:v>
      </x:c>
      <x:c r="F124" s="6" t="str">
        <x:v>generate, view, catalogue_qc</x:v>
      </x:c>
      <x:c r="G124" s="6" t="str"/>
    </x:row>
    <x:row r="125" ht="88" customHeight="1">
      <x:c r="A125" s="6" t="str">
        <x:v>F06</x:v>
      </x:c>
      <x:c r="B125" s="6" t="str">
        <x:v>Name Drop</x:v>
      </x:c>
      <x:c r="C125" s="6" t="str">
        <x:v>No names are dropped or substituted; each job has its own revision/hash and glyph check.</x:v>
      </x:c>
      <x:c r="D125" s="6" t="str">
        <x:v>Reject an unsupported input or configuration; preserve source and previous revision on failure.</x:v>
      </x:c>
      <x:c r="E125" s="6" t="str">
        <x:v>G01, G02, G03, G04</x:v>
      </x:c>
      <x:c r="F125" s="6" t="str">
        <x:v>generate, view, catalogue_qc</x:v>
      </x:c>
      <x:c r="G125" s="6" t="str"/>
    </x:row>
    <x:row r="126" ht="88" customHeight="1">
      <x:c r="A126" s="6" t="str">
        <x:v>F07</x:v>
      </x:c>
      <x:c r="B126" s="6" t="str">
        <x:v>Outline Around Letters</x:v>
      </x:c>
      <x:c r="C126" s="6" t="str">
        <x:v>Small counters and close letters pass topology checks or return explicit size limits.</x:v>
      </x:c>
      <x:c r="D126" s="6" t="str">
        <x:v>Reject an unsupported input or configuration; preserve source and previous revision on failure.</x:v>
      </x:c>
      <x:c r="E126" s="6" t="str">
        <x:v>G01, G02, G03, G04</x:v>
      </x:c>
      <x:c r="F126" s="6" t="str">
        <x:v>generate, view, catalogue_qc</x:v>
      </x:c>
      <x:c r="G126" s="6" t="str"/>
    </x:row>
    <x:row r="127" ht="88" customHeight="1">
      <x:c r="A127" s="6" t="str">
        <x:v>F08</x:v>
      </x:c>
      <x:c r="B127" s="6" t="str">
        <x:v>Small Font: 10</x:v>
      </x:c>
      <x:c r="C127" s="6" t="str">
        <x:v>Blind legibility tests report fabric/thread/needle/size domain; no universal minimum claim.</x:v>
      </x:c>
      <x:c r="D127" s="6" t="str">
        <x:v>Reject an unsupported input or configuration; preserve source and previous revision on failure.</x:v>
      </x:c>
      <x:c r="E127" s="6" t="str">
        <x:v>G01, G02, G03, G04</x:v>
      </x:c>
      <x:c r="F127" s="6" t="str">
        <x:v>generate, view, catalogue_qc</x:v>
      </x:c>
      <x:c r="G127" s="6" t="str"/>
    </x:row>
    <x:row r="128" ht="88" customHeight="1">
      <x:c r="A128" s="6" t="str">
        <x:v>F09</x:v>
      </x:c>
      <x:c r="B128" s="6" t="str">
        <x:v>Text Transform</x:v>
      </x:c>
      <x:c r="C128" s="6" t="str">
        <x:v>Shaped text remains editable; extreme warp produces a review warning.</x:v>
      </x:c>
      <x:c r="D128" s="6" t="str">
        <x:v>Reject an unsupported input or configuration; preserve source and previous revision on failure.</x:v>
      </x:c>
      <x:c r="E128" s="6" t="str">
        <x:v>G01, G02, G03, G04</x:v>
      </x:c>
      <x:c r="F128" s="6" t="str">
        <x:v>generate, view, catalogue_qc</x:v>
      </x:c>
      <x:c r="G128" s="6" t="str"/>
    </x:row>
    <x:row r="129" ht="88" customHeight="1">
      <x:c r="A129" s="6" t="str">
        <x:v>F10</x:v>
      </x:c>
      <x:c r="B129" s="6" t="str">
        <x:v>True Type Font</x:v>
      </x:c>
      <x:c r="C129" s="6" t="str">
        <x:v>Ligatures, counters and supported Unicode scripts retain intended text; raw font import is not counted as a digitised font.</x:v>
      </x:c>
      <x:c r="D129" s="6" t="str">
        <x:v>Reject an unsupported input or configuration; preserve source and previous revision on failure.</x:v>
      </x:c>
      <x:c r="E129" s="6" t="str">
        <x:v>G01, G02, G03, G04</x:v>
      </x:c>
      <x:c r="F129" s="6" t="str">
        <x:v>generate, view, catalogue_qc</x:v>
      </x:c>
      <x:c r="G129" s="6" t="str"/>
    </x:row>
    <x:row r="130" ht="88" customHeight="1">
      <x:c r="A130" s="6" t="str">
        <x:v>F11</x:v>
      </x:c>
      <x:c r="B130" s="6" t="str">
        <x:v>Multilingual text and glyph provenance (extension)</x:v>
      </x:c>
      <x:c r="C130" s="6" t="str">
        <x:v>Test declared scripts; missing glyphs and unapproved fallback cannot reach unattended batch release.</x:v>
      </x:c>
      <x:c r="D130" s="6" t="str">
        <x:v>Reject an unsupported input or configuration; preserve source and previous revision on failure.</x:v>
      </x:c>
      <x:c r="E130" s="6" t="str">
        <x:v>G01, G02, G03, G04</x:v>
      </x:c>
      <x:c r="F130" s="6" t="str">
        <x:v>generate, view, catalogue_qc</x:v>
      </x:c>
      <x:c r="G130" s="6" t="str"/>
    </x:row>
    <x:row r="131" ht="88" customHeight="1">
      <x:c r="A131" s="6" t="str">
        <x:v>L01</x:v>
      </x:c>
      <x:c r="B131" s="6" t="str">
        <x:v>Running</x:v>
      </x:c>
      <x:c r="C131" s="6" t="str">
        <x:v>Golden path cases exercise straight/curved/tight-corner geometry; inspect raw decoded topology, bounds and deterministic output.</x:v>
      </x:c>
      <x:c r="D131" s="6" t="str">
        <x:v>Unsupported geometry, density or required tooling blocks generation/release; no fallback to another family.</x:v>
      </x:c>
      <x:c r="E131" s="6" t="str">
        <x:v>G01, G02</x:v>
      </x:c>
      <x:c r="F131" s="6" t="str">
        <x:v>generate, export, physical_qc</x:v>
      </x:c>
      <x:c r="G131" s="6" t="str"/>
    </x:row>
    <x:row r="132" ht="88" customHeight="1">
      <x:c r="A132" s="6" t="str">
        <x:v>L02X</x:v>
      </x:c>
      <x:c r="B132" s="6" t="str">
        <x:v>Zigzag</x:v>
      </x:c>
      <x:c r="C132" s="6" t="str">
        <x:v>Golden path cases exercise straight/curved/tight-corner geometry; inspect raw decoded topology, bounds and deterministic output.</x:v>
      </x:c>
      <x:c r="D132" s="6" t="str">
        <x:v>Unsupported geometry, density or required tooling blocks generation/release; no fallback to another family.</x:v>
      </x:c>
      <x:c r="E132" s="6" t="str">
        <x:v>G01, G02</x:v>
      </x:c>
      <x:c r="F132" s="6" t="str">
        <x:v>generate, export, physical_qc</x:v>
      </x:c>
      <x:c r="G132" s="6" t="str"/>
    </x:row>
    <x:row r="133" ht="88" customHeight="1">
      <x:c r="A133" s="6" t="str">
        <x:v>L03</x:v>
      </x:c>
      <x:c r="B133" s="6" t="str">
        <x:v>Triple</x:v>
      </x:c>
      <x:c r="C133" s="6" t="str">
        <x:v>Golden path cases exercise straight/curved/tight-corner geometry; inspect raw decoded topology, bounds and deterministic output.</x:v>
      </x:c>
      <x:c r="D133" s="6" t="str">
        <x:v>Unsupported geometry, density or required tooling blocks generation/release; no fallback to another family.</x:v>
      </x:c>
      <x:c r="E133" s="6" t="str">
        <x:v>G01, G02</x:v>
      </x:c>
      <x:c r="F133" s="6" t="str">
        <x:v>generate, export, physical_qc</x:v>
      </x:c>
      <x:c r="G133" s="6" t="str"/>
    </x:row>
    <x:row r="134" ht="88" customHeight="1">
      <x:c r="A134" s="6" t="str">
        <x:v>L04</x:v>
      </x:c>
      <x:c r="B134" s="6" t="str">
        <x:v>Motif</x:v>
      </x:c>
      <x:c r="C134" s="6" t="str">
        <x:v>Golden path cases exercise straight/curved/tight-corner geometry; inspect raw decoded topology, bounds and deterministic output.</x:v>
      </x:c>
      <x:c r="D134" s="6" t="str">
        <x:v>Unsupported geometry, density or required tooling blocks generation/release; no fallback to another family.</x:v>
      </x:c>
      <x:c r="E134" s="6" t="str">
        <x:v>G01, G02</x:v>
      </x:c>
      <x:c r="F134" s="6" t="str">
        <x:v>generate, export, physical_qc</x:v>
      </x:c>
      <x:c r="G134" s="6" t="str"/>
    </x:row>
    <x:row r="135" ht="88" customHeight="1">
      <x:c r="A135" s="6" t="str">
        <x:v>L05</x:v>
      </x:c>
      <x:c r="B135" s="6" t="str">
        <x:v>Stem</x:v>
      </x:c>
      <x:c r="C135" s="6" t="str">
        <x:v>Golden path cases exercise straight/curved/tight-corner geometry; inspect raw decoded topology, bounds and deterministic output.</x:v>
      </x:c>
      <x:c r="D135" s="6" t="str">
        <x:v>Unsupported geometry, density or required tooling blocks generation/release; no fallback to another family.</x:v>
      </x:c>
      <x:c r="E135" s="6" t="str">
        <x:v>G01, G02</x:v>
      </x:c>
      <x:c r="F135" s="6" t="str">
        <x:v>generate, export, physical_qc</x:v>
      </x:c>
      <x:c r="G135" s="6" t="str"/>
    </x:row>
    <x:row r="136" ht="88" customHeight="1">
      <x:c r="A136" s="6" t="str">
        <x:v>L06</x:v>
      </x:c>
      <x:c r="B136" s="6" t="str">
        <x:v>Candlewicking</x:v>
      </x:c>
      <x:c r="C136" s="6" t="str">
        <x:v>Golden path cases exercise straight/curved/tight-corner geometry; inspect raw decoded topology, bounds and deterministic output.</x:v>
      </x:c>
      <x:c r="D136" s="6" t="str">
        <x:v>Unsupported geometry, density or required tooling blocks generation/release; no fallback to another family.</x:v>
      </x:c>
      <x:c r="E136" s="6" t="str">
        <x:v>G01, G02</x:v>
      </x:c>
      <x:c r="F136" s="6" t="str">
        <x:v>generate, export, physical_qc</x:v>
      </x:c>
      <x:c r="G136" s="6" t="str"/>
    </x:row>
    <x:row r="137" ht="88" customHeight="1">
      <x:c r="A137" s="6" t="str">
        <x:v>L07</x:v>
      </x:c>
      <x:c r="B137" s="6" t="str">
        <x:v>E/V</x:v>
      </x:c>
      <x:c r="C137" s="6" t="str">
        <x:v>Golden path cases exercise straight/curved/tight-corner geometry; inspect raw decoded topology, bounds and deterministic output.</x:v>
      </x:c>
      <x:c r="D137" s="6" t="str">
        <x:v>Unsupported geometry, density or required tooling blocks generation/release; no fallback to another family.</x:v>
      </x:c>
      <x:c r="E137" s="6" t="str">
        <x:v>G01, G02</x:v>
      </x:c>
      <x:c r="F137" s="6" t="str">
        <x:v>generate, export, physical_qc</x:v>
      </x:c>
      <x:c r="G137" s="6" t="str"/>
    </x:row>
    <x:row r="138" ht="88" customHeight="1">
      <x:c r="A138" s="6" t="str">
        <x:v>L08</x:v>
      </x:c>
      <x:c r="B138" s="6" t="str">
        <x:v>Chain</x:v>
      </x:c>
      <x:c r="C138" s="6" t="str">
        <x:v>Golden path cases exercise straight/curved/tight-corner geometry; inspect raw decoded topology, bounds and deterministic output.</x:v>
      </x:c>
      <x:c r="D138" s="6" t="str">
        <x:v>Unsupported geometry, density or required tooling blocks generation/release; no fallback to another family.</x:v>
      </x:c>
      <x:c r="E138" s="6" t="str">
        <x:v>G01, G02</x:v>
      </x:c>
      <x:c r="F138" s="6" t="str">
        <x:v>generate, export, physical_qc</x:v>
      </x:c>
      <x:c r="G138" s="6" t="str"/>
    </x:row>
    <x:row r="139" ht="88" customHeight="1">
      <x:c r="A139" s="6" t="str">
        <x:v>L09</x:v>
      </x:c>
      <x:c r="B139" s="6" t="str">
        <x:v>Cutting</x:v>
      </x:c>
      <x:c r="C139" s="6" t="str">
        <x:v>Golden path cases exercise straight/curved/tight-corner geometry; inspect raw decoded topology, bounds and deterministic output.</x:v>
      </x:c>
      <x:c r="D139" s="6" t="str">
        <x:v>Unsupported geometry, density or required tooling blocks generation/release; no fallback to another family.</x:v>
      </x:c>
      <x:c r="E139" s="6" t="str">
        <x:v>G01, G02</x:v>
      </x:c>
      <x:c r="F139" s="6" t="str">
        <x:v>generate, export, physical_qc</x:v>
      </x:c>
      <x:c r="G139" s="6" t="str"/>
    </x:row>
    <x:row r="140" ht="88" customHeight="1">
      <x:c r="A140" s="6" t="str">
        <x:v>S01</x:v>
      </x:c>
      <x:c r="B140" s="6" t="str">
        <x:v>Satin</x:v>
      </x:c>
      <x:c r="C140" s="6" t="str">
        <x:v>Golden region cases cover holes, concavity, narrow areas, orientation and scaling; export shows the requested topology and limits.</x:v>
      </x:c>
      <x:c r="D140" s="6" t="str">
        <x:v>Invalid topology, singularities or resource exhaustion fail before writing an output.</x:v>
      </x:c>
      <x:c r="E140" s="6" t="str">
        <x:v>G01, G02</x:v>
      </x:c>
      <x:c r="F140" s="6" t="str">
        <x:v>generate, export, physical_qc</x:v>
      </x:c>
      <x:c r="G140" s="6" t="str"/>
    </x:row>
    <x:row r="141" ht="88" customHeight="1">
      <x:c r="A141" s="6" t="str">
        <x:v>S02</x:v>
      </x:c>
      <x:c r="B141" s="6" t="str">
        <x:v>Fill</x:v>
      </x:c>
      <x:c r="C141" s="6" t="str">
        <x:v>Golden region cases cover holes, concavity, narrow areas, orientation and scaling; export shows the requested topology and limits.</x:v>
      </x:c>
      <x:c r="D141" s="6" t="str">
        <x:v>Invalid topology, singularities or resource exhaustion fail before writing an output.</x:v>
      </x:c>
      <x:c r="E141" s="6" t="str">
        <x:v>G01, G02</x:v>
      </x:c>
      <x:c r="F141" s="6" t="str">
        <x:v>generate, export, physical_qc</x:v>
      </x:c>
      <x:c r="G141" s="6" t="str"/>
    </x:row>
    <x:row r="142" ht="88" customHeight="1">
      <x:c r="A142" s="6" t="str">
        <x:v>S03</x:v>
      </x:c>
      <x:c r="B142" s="6" t="str">
        <x:v>Programmable fill</x:v>
      </x:c>
      <x:c r="C142" s="6" t="str">
        <x:v>Golden region cases cover holes, concavity, narrow areas, orientation and scaling; export shows the requested topology and limits.</x:v>
      </x:c>
      <x:c r="D142" s="6" t="str">
        <x:v>Invalid topology, singularities or resource exhaustion fail before writing an output.</x:v>
      </x:c>
      <x:c r="E142" s="6" t="str">
        <x:v>G01, G02</x:v>
      </x:c>
      <x:c r="F142" s="6" t="str">
        <x:v>generate, export, physical_qc</x:v>
      </x:c>
      <x:c r="G142" s="6" t="str"/>
    </x:row>
    <x:row r="143" ht="88" customHeight="1">
      <x:c r="A143" s="6" t="str">
        <x:v>S04</x:v>
      </x:c>
      <x:c r="B143" s="6" t="str">
        <x:v>Motif</x:v>
      </x:c>
      <x:c r="C143" s="6" t="str">
        <x:v>Golden region cases cover holes, concavity, narrow areas, orientation and scaling; export shows the requested topology and limits.</x:v>
      </x:c>
      <x:c r="D143" s="6" t="str">
        <x:v>Invalid topology, singularities or resource exhaustion fail before writing an output.</x:v>
      </x:c>
      <x:c r="E143" s="6" t="str">
        <x:v>G01, G02</x:v>
      </x:c>
      <x:c r="F143" s="6" t="str">
        <x:v>generate, export, physical_qc</x:v>
      </x:c>
      <x:c r="G143" s="6" t="str"/>
    </x:row>
    <x:row r="144" ht="88" customHeight="1">
      <x:c r="A144" s="6" t="str">
        <x:v>S05</x:v>
      </x:c>
      <x:c r="B144" s="6" t="str">
        <x:v>Piping</x:v>
      </x:c>
      <x:c r="C144" s="6" t="str">
        <x:v>Golden region cases cover holes, concavity, narrow areas, orientation and scaling; export shows the requested topology and limits.</x:v>
      </x:c>
      <x:c r="D144" s="6" t="str">
        <x:v>Invalid topology, singularities or resource exhaustion fail before writing an output.</x:v>
      </x:c>
      <x:c r="E144" s="6" t="str">
        <x:v>G01, G02</x:v>
      </x:c>
      <x:c r="F144" s="6" t="str">
        <x:v>generate, export, physical_qc</x:v>
      </x:c>
      <x:c r="G144" s="6" t="str"/>
    </x:row>
    <x:row r="145" ht="88" customHeight="1">
      <x:c r="A145" s="6" t="str">
        <x:v>S06</x:v>
      </x:c>
      <x:c r="B145" s="6" t="str">
        <x:v>Cross Stitch</x:v>
      </x:c>
      <x:c r="C145" s="6" t="str">
        <x:v>Golden region cases cover holes, concavity, narrow areas, orientation and scaling; export shows the requested topology and limits.</x:v>
      </x:c>
      <x:c r="D145" s="6" t="str">
        <x:v>Invalid topology, singularities or resource exhaustion fail before writing an output.</x:v>
      </x:c>
      <x:c r="E145" s="6" t="str">
        <x:v>G01, G02</x:v>
      </x:c>
      <x:c r="F145" s="6" t="str">
        <x:v>generate, export, physical_qc</x:v>
      </x:c>
      <x:c r="G145" s="6" t="str"/>
    </x:row>
    <x:row r="146" ht="88" customHeight="1">
      <x:c r="A146" s="6" t="str">
        <x:v>S07</x:v>
      </x:c>
      <x:c r="B146" s="6" t="str">
        <x:v>Concentric Circle</x:v>
      </x:c>
      <x:c r="C146" s="6" t="str">
        <x:v>Golden region cases cover holes, concavity, narrow areas, orientation and scaling; export shows the requested topology and limits.</x:v>
      </x:c>
      <x:c r="D146" s="6" t="str">
        <x:v>Invalid topology, singularities or resource exhaustion fail before writing an output.</x:v>
      </x:c>
      <x:c r="E146" s="6" t="str">
        <x:v>G01, G02</x:v>
      </x:c>
      <x:c r="F146" s="6" t="str">
        <x:v>generate, export, physical_qc</x:v>
      </x:c>
      <x:c r="G146" s="6" t="str"/>
    </x:row>
    <x:row r="147" ht="88" customHeight="1">
      <x:c r="A147" s="6" t="str">
        <x:v>S08</x:v>
      </x:c>
      <x:c r="B147" s="6" t="str">
        <x:v>Radial</x:v>
      </x:c>
      <x:c r="C147" s="6" t="str">
        <x:v>Golden region cases cover holes, concavity, narrow areas, orientation and scaling; export shows the requested topology and limits.</x:v>
      </x:c>
      <x:c r="D147" s="6" t="str">
        <x:v>Invalid topology, singularities or resource exhaustion fail before writing an output.</x:v>
      </x:c>
      <x:c r="E147" s="6" t="str">
        <x:v>G01, G02</x:v>
      </x:c>
      <x:c r="F147" s="6" t="str">
        <x:v>generate, export, physical_qc</x:v>
      </x:c>
      <x:c r="G147" s="6" t="str"/>
    </x:row>
    <x:row r="148" ht="88" customHeight="1">
      <x:c r="A148" s="6" t="str">
        <x:v>S09</x:v>
      </x:c>
      <x:c r="B148" s="6" t="str">
        <x:v>Spiral</x:v>
      </x:c>
      <x:c r="C148" s="6" t="str">
        <x:v>Golden region cases cover holes, concavity, narrow areas, orientation and scaling; export shows the requested topology and limits.</x:v>
      </x:c>
      <x:c r="D148" s="6" t="str">
        <x:v>Invalid topology, singularities or resource exhaustion fail before writing an output.</x:v>
      </x:c>
      <x:c r="E148" s="6" t="str">
        <x:v>G01, G02</x:v>
      </x:c>
      <x:c r="F148" s="6" t="str">
        <x:v>generate, export, physical_qc</x:v>
      </x:c>
      <x:c r="G148" s="6" t="str"/>
    </x:row>
    <x:row r="149" ht="88" customHeight="1">
      <x:c r="A149" s="6" t="str">
        <x:v>S10</x:v>
      </x:c>
      <x:c r="B149" s="6" t="str">
        <x:v>Flexible Spiral</x:v>
      </x:c>
      <x:c r="C149" s="6" t="str">
        <x:v>Golden region cases cover holes, concavity, narrow areas, orientation and scaling; export shows the requested topology and limits.</x:v>
      </x:c>
      <x:c r="D149" s="6" t="str">
        <x:v>Invalid topology, singularities or resource exhaustion fail before writing an output.</x:v>
      </x:c>
      <x:c r="E149" s="6" t="str">
        <x:v>G01, G02</x:v>
      </x:c>
      <x:c r="F149" s="6" t="str">
        <x:v>generate, export, physical_qc</x:v>
      </x:c>
      <x:c r="G149" s="6" t="str"/>
    </x:row>
    <x:row r="150" ht="88" customHeight="1">
      <x:c r="A150" s="6" t="str">
        <x:v>S11</x:v>
      </x:c>
      <x:c r="B150" s="6" t="str">
        <x:v>Stippling</x:v>
      </x:c>
      <x:c r="C150" s="6" t="str">
        <x:v>Golden region cases cover holes, concavity, narrow areas, orientation and scaling; export shows the requested topology and limits.</x:v>
      </x:c>
      <x:c r="D150" s="6" t="str">
        <x:v>Invalid topology, singularities or resource exhaustion fail before writing an output.</x:v>
      </x:c>
      <x:c r="E150" s="6" t="str">
        <x:v>G01, G02</x:v>
      </x:c>
      <x:c r="F150" s="6" t="str">
        <x:v>generate, export, physical_qc</x:v>
      </x:c>
      <x:c r="G150" s="6" t="str"/>
    </x:row>
    <x:row r="151" ht="88" customHeight="1">
      <x:c r="A151" s="6" t="str">
        <x:v>S12</x:v>
      </x:c>
      <x:c r="B151" s="6" t="str">
        <x:v>Net Fill</x:v>
      </x:c>
      <x:c r="C151" s="6" t="str">
        <x:v>Golden region cases cover holes, concavity, narrow areas, orientation and scaling; export shows the requested topology and limits.</x:v>
      </x:c>
      <x:c r="D151" s="6" t="str">
        <x:v>Invalid topology, singularities or resource exhaustion fail before writing an output.</x:v>
      </x:c>
      <x:c r="E151" s="6" t="str">
        <x:v>G01, G02</x:v>
      </x:c>
      <x:c r="F151" s="6" t="str">
        <x:v>generate, export, physical_qc</x:v>
      </x:c>
      <x:c r="G151" s="6" t="str"/>
    </x:row>
    <x:row r="152" ht="88" customHeight="1">
      <x:c r="A152" s="6" t="str">
        <x:v>S13</x:v>
      </x:c>
      <x:c r="B152" s="6" t="str">
        <x:v>Zigzag Net Fill</x:v>
      </x:c>
      <x:c r="C152" s="6" t="str">
        <x:v>Golden region cases cover holes, concavity, narrow areas, orientation and scaling; export shows the requested topology and limits.</x:v>
      </x:c>
      <x:c r="D152" s="6" t="str">
        <x:v>Invalid topology, singularities or resource exhaustion fail before writing an output.</x:v>
      </x:c>
      <x:c r="E152" s="6" t="str">
        <x:v>G01, G02</x:v>
      </x:c>
      <x:c r="F152" s="6" t="str">
        <x:v>generate, export, physical_qc</x:v>
      </x:c>
      <x:c r="G152" s="6" t="str"/>
    </x:row>
    <x:row r="153" ht="88" customHeight="1">
      <x:c r="A153" s="6" t="str">
        <x:v>S14</x:v>
      </x:c>
      <x:c r="B153" s="6" t="str">
        <x:v>Decorative Fill</x:v>
      </x:c>
      <x:c r="C153" s="6" t="str">
        <x:v>Golden region cases cover holes, concavity, narrow areas, orientation and scaling; export shows the requested topology and limits.</x:v>
      </x:c>
      <x:c r="D153" s="6" t="str">
        <x:v>Invalid topology, singularities or resource exhaustion fail before writing an output.</x:v>
      </x:c>
      <x:c r="E153" s="6" t="str">
        <x:v>G01, G02</x:v>
      </x:c>
      <x:c r="F153" s="6" t="str">
        <x:v>generate, export, physical_qc</x:v>
      </x:c>
      <x:c r="G153" s="6" t="str"/>
    </x:row>
    <x:row r="154" ht="88" customHeight="1">
      <x:c r="A154" s="6" t="str">
        <x:v>Q01</x:v>
      </x:c>
      <x:c r="B154" s="6" t="str">
        <x:v>Echo fill / background echo quilting</x:v>
      </x:c>
      <x:c r="C154" s="6" t="str">
        <x:v>Reopen the saved recipe and reproduce its design, separate artifacts and parameter values; use physical samples to qualify the declared process.</x:v>
      </x:c>
      <x:c r="D154" s="6" t="str">
        <x:v>Unknown fabric/tool operation and silent parameter substitution are blocked.</x:v>
      </x:c>
      <x:c r="E154" s="6" t="str">
        <x:v>G01, G02</x:v>
      </x:c>
      <x:c r="F154" s="6" t="str">
        <x:v>generate, view, physical_qc</x:v>
      </x:c>
      <x:c r="G154" s="6" t="str"/>
    </x:row>
    <x:row r="155" ht="88" customHeight="1">
      <x:c r="A155" s="6" t="str">
        <x:v>Q02</x:v>
      </x:c>
      <x:c r="B155" s="6" t="str">
        <x:v>Decorative Fill Pattern creator</x:v>
      </x:c>
      <x:c r="C155" s="6" t="str">
        <x:v>Reopen the saved recipe and reproduce its design, separate artifacts and parameter values; use physical samples to qualify the declared process.</x:v>
      </x:c>
      <x:c r="D155" s="6" t="str">
        <x:v>Unknown fabric/tool operation and silent parameter substitution are blocked.</x:v>
      </x:c>
      <x:c r="E155" s="6" t="str">
        <x:v>G01, G02</x:v>
      </x:c>
      <x:c r="F155" s="6" t="str">
        <x:v>generate, view, physical_qc</x:v>
      </x:c>
      <x:c r="G155" s="6" t="str"/>
    </x:row>
    <x:row r="156" ht="88" customHeight="1">
      <x:c r="A156" s="6" t="str">
        <x:v>Q03</x:v>
      </x:c>
      <x:c r="B156" s="6" t="str">
        <x:v>Motif Pattern creator</x:v>
      </x:c>
      <x:c r="C156" s="6" t="str">
        <x:v>Reopen the saved recipe and reproduce its design, separate artifacts and parameter values; use physical samples to qualify the declared process.</x:v>
      </x:c>
      <x:c r="D156" s="6" t="str">
        <x:v>Unknown fabric/tool operation and silent parameter substitution are blocked.</x:v>
      </x:c>
      <x:c r="E156" s="6" t="str">
        <x:v>G01, G02</x:v>
      </x:c>
      <x:c r="F156" s="6" t="str">
        <x:v>generate, view, physical_qc</x:v>
      </x:c>
      <x:c r="G156" s="6" t="str"/>
    </x:row>
    <x:row r="157" ht="88" customHeight="1">
      <x:c r="A157" s="6" t="str">
        <x:v>Q04</x:v>
      </x:c>
      <x:c r="B157" s="6" t="str">
        <x:v>Programmable Fill/Stamp Pattern</x:v>
      </x:c>
      <x:c r="C157" s="6" t="str">
        <x:v>Reopen the saved recipe and reproduce its design, separate artifacts and parameter values; use physical samples to qualify the declared process.</x:v>
      </x:c>
      <x:c r="D157" s="6" t="str">
        <x:v>Unknown fabric/tool operation and silent parameter substitution are blocked.</x:v>
      </x:c>
      <x:c r="E157" s="6" t="str">
        <x:v>G01, G02</x:v>
      </x:c>
      <x:c r="F157" s="6" t="str">
        <x:v>generate, view, physical_qc</x:v>
      </x:c>
      <x:c r="G157" s="6" t="str"/>
    </x:row>
    <x:row r="158" ht="88" customHeight="1">
      <x:c r="A158" s="6" t="str">
        <x:v>Q05</x:v>
      </x:c>
      <x:c r="B158" s="6" t="str">
        <x:v>Round fill stitch</x:v>
      </x:c>
      <x:c r="C158" s="6" t="str">
        <x:v>Reopen the saved recipe and reproduce its design, separate artifacts and parameter values; use physical samples to qualify the declared process.</x:v>
      </x:c>
      <x:c r="D158" s="6" t="str">
        <x:v>Unknown fabric/tool operation and silent parameter substitution are blocked.</x:v>
      </x:c>
      <x:c r="E158" s="6" t="str">
        <x:v>G01, G02</x:v>
      </x:c>
      <x:c r="F158" s="6" t="str">
        <x:v>generate, view, physical_qc</x:v>
      </x:c>
      <x:c r="G158" s="6" t="str"/>
    </x:row>
    <x:row r="159" ht="88" customHeight="1">
      <x:c r="A159" s="6" t="str">
        <x:v>Q06</x:v>
      </x:c>
      <x:c r="B159" s="6" t="str">
        <x:v>Graduation and Colour Blending; mix gradients</x:v>
      </x:c>
      <x:c r="C159" s="6" t="str">
        <x:v>Reopen the saved recipe and reproduce its design, separate artifacts and parameter values; use physical samples to qualify the declared process.</x:v>
      </x:c>
      <x:c r="D159" s="6" t="str">
        <x:v>Unknown fabric/tool operation and silent parameter substitution are blocked.</x:v>
      </x:c>
      <x:c r="E159" s="6" t="str">
        <x:v>G01, G02</x:v>
      </x:c>
      <x:c r="F159" s="6" t="str">
        <x:v>generate, view, physical_qc</x:v>
      </x:c>
      <x:c r="G159" s="6" t="str"/>
    </x:row>
    <x:row r="160" ht="88" customHeight="1">
      <x:c r="A160" s="6" t="str">
        <x:v>Q07</x:v>
      </x:c>
      <x:c r="B160" s="6" t="str">
        <x:v>Load/Save Default Setting</x:v>
      </x:c>
      <x:c r="C160" s="6" t="str">
        <x:v>Reopen the saved recipe and reproduce its design, separate artifacts and parameter values; use physical samples to qualify the declared process.</x:v>
      </x:c>
      <x:c r="D160" s="6" t="str">
        <x:v>Unknown fabric/tool operation and silent parameter substitution are blocked.</x:v>
      </x:c>
      <x:c r="E160" s="6" t="str">
        <x:v>G01, G02</x:v>
      </x:c>
      <x:c r="F160" s="6" t="str">
        <x:v>generate, view, physical_qc</x:v>
      </x:c>
      <x:c r="G160" s="6" t="str"/>
    </x:row>
    <x:row r="161" ht="88" customHeight="1">
      <x:c r="A161" s="6" t="str">
        <x:v>Q08</x:v>
      </x:c>
      <x:c r="B161" s="6" t="str">
        <x:v>Print and Stitch</x:v>
      </x:c>
      <x:c r="C161" s="6" t="str">
        <x:v>Reopen the saved recipe and reproduce its design, separate artifacts and parameter values; use physical samples to qualify the declared process.</x:v>
      </x:c>
      <x:c r="D161" s="6" t="str">
        <x:v>Unknown fabric/tool operation and silent parameter substitution are blocked.</x:v>
      </x:c>
      <x:c r="E161" s="6" t="str">
        <x:v>G01, G02</x:v>
      </x:c>
      <x:c r="F161" s="6" t="str">
        <x:v>generate, view, physical_qc</x:v>
      </x:c>
      <x:c r="G161" s="6" t="str"/>
    </x:row>
    <x:row r="162" ht="88" customHeight="1">
      <x:c r="A162" s="6" t="str">
        <x:v>Q09</x:v>
      </x:c>
      <x:c r="B162" s="6" t="str">
        <x:v>Quilting workspace</x:v>
      </x:c>
      <x:c r="C162" s="6" t="str">
        <x:v>Reopen the saved recipe and reproduce its design, separate artifacts and parameter values; use physical samples to qualify the declared process.</x:v>
      </x:c>
      <x:c r="D162" s="6" t="str">
        <x:v>Unknown fabric/tool operation and silent parameter substitution are blocked.</x:v>
      </x:c>
      <x:c r="E162" s="6" t="str">
        <x:v>G01, G02</x:v>
      </x:c>
      <x:c r="F162" s="6" t="str">
        <x:v>generate, view, physical_qc</x:v>
      </x:c>
      <x:c r="G162" s="6" t="str"/>
    </x:row>
    <x:row r="163" ht="88" customHeight="1">
      <x:c r="A163" s="6" t="str">
        <x:v>Q10</x:v>
      </x:c>
      <x:c r="B163" s="6" t="str">
        <x:v>Underlay and pull compensation (continuity)</x:v>
      </x:c>
      <x:c r="C163" s="6" t="str">
        <x:v>Reopen the saved recipe and reproduce its design, separate artifacts and parameter values; use physical samples to qualify the declared process.</x:v>
      </x:c>
      <x:c r="D163" s="6" t="str">
        <x:v>Unknown fabric/tool operation and silent parameter substitution are blocked.</x:v>
      </x:c>
      <x:c r="E163" s="6" t="str">
        <x:v>G01, G02</x:v>
      </x:c>
      <x:c r="F163" s="6" t="str">
        <x:v>generate, view, physical_qc</x:v>
      </x:c>
      <x:c r="G163" s="6" t="str"/>
    </x:row>
    <x:row r="164" ht="88" customHeight="1">
      <x:c r="A164" s="6" t="str">
        <x:v>SW01</x:v>
      </x:c>
      <x:c r="B164" s="6" t="str">
        <x:v>Stitch Design Factory: create sewing stitch patterns</x:v>
      </x:c>
      <x:c r="C164" s="6" t="str">
        <x:v>Design a repeat; check width/feed/continuity; export/decode with its adapter; demonstrate the matching mechanism.</x:v>
      </x:c>
      <x:c r="D164" s="6" t="str">
        <x:v>An embroidery-only machine/profile and the DST writer cannot satisfy this request.</x:v>
      </x:c>
      <x:c r="E164" s="6" t="str">
        <x:v>G01, G04, G05</x:v>
      </x:c>
      <x:c r="F164" s="6" t="str">
        <x:v>generate, export</x:v>
      </x:c>
      <x:c r="G164" s="6" t="str"/>
    </x:row>
    <x:row r="165" ht="88" customHeight="1">
      <x:c r="A165" s="6" t="str">
        <x:v>SW02</x:v>
      </x:c>
      <x:c r="B165" s="6" t="str">
        <x:v>File Export (Sewing Stitch Pattern)</x:v>
      </x:c>
      <x:c r="C165" s="6" t="str">
        <x:v>Design a repeat; check width/feed/continuity; export/decode with its adapter; demonstrate the matching mechanism.</x:v>
      </x:c>
      <x:c r="D165" s="6" t="str">
        <x:v>An embroidery-only machine/profile and the DST writer cannot satisfy this request.</x:v>
      </x:c>
      <x:c r="E165" s="6" t="str">
        <x:v>G01, G04, G05</x:v>
      </x:c>
      <x:c r="F165" s="6" t="str">
        <x:v>generate, export</x:v>
      </x:c>
      <x:c r="G165" s="6" t="str"/>
    </x:row>
    <x:row r="166" ht="88" customHeight="1">
      <x:c r="A166" s="6" t="str">
        <x:v>SW03</x:v>
      </x:c>
      <x:c r="B166" s="6" t="str">
        <x:v>Wireless Export (Sewing stitch pattern)</x:v>
      </x:c>
      <x:c r="C166" s="6" t="str">
        <x:v>Design a repeat; check width/feed/continuity; export/decode with its adapter; demonstrate the matching mechanism.</x:v>
      </x:c>
      <x:c r="D166" s="6" t="str">
        <x:v>An embroidery-only machine/profile and the DST writer cannot satisfy this request.</x:v>
      </x:c>
      <x:c r="E166" s="6" t="str">
        <x:v>G01, G04, G05</x:v>
      </x:c>
      <x:c r="F166" s="6" t="str">
        <x:v>generate, export, transfer, physical_qc</x:v>
      </x:c>
      <x:c r="G166" s="6" t="str"/>
    </x:row>
    <x:row r="167" ht="88" customHeight="1">
      <x:c r="A167" s="6" t="str">
        <x:v>SW04</x:v>
      </x:c>
      <x:c r="B167" s="6" t="str">
        <x:v>Sewing-pattern simulation</x:v>
      </x:c>
      <x:c r="C167" s="6" t="str">
        <x:v>Design a repeat; check width/feed/continuity; export/decode with its adapter; demonstrate the matching mechanism.</x:v>
      </x:c>
      <x:c r="D167" s="6" t="str">
        <x:v>An embroidery-only machine/profile and the DST writer cannot satisfy this request.</x:v>
      </x:c>
      <x:c r="E167" s="6" t="str">
        <x:v>G01, G04, G05</x:v>
      </x:c>
      <x:c r="F167" s="6" t="str">
        <x:v>generate, export</x:v>
      </x:c>
      <x:c r="G167" s="6" t="str"/>
    </x:row>
    <x:row r="168" ht="88" customHeight="1">
      <x:c r="A168" s="6" t="str">
        <x:v>T01</x:v>
      </x:c>
      <x:c r="B168" s="6" t="str">
        <x:v>Build-In Threaded Brand: 15</x:v>
      </x:c>
      <x:c r="C168" s="6" t="str">
        <x:v>Validate catalogue licence, brand/code identity and provenance; substituted threads are explicit.</x:v>
      </x:c>
      <x:c r="D168" s="6" t="str">
        <x:v>Reject an unsupported input or configuration; preserve source and previous revision on failure.</x:v>
      </x:c>
      <x:c r="E168" s="6" t="str">
        <x:v>G01, G03, G04, G05</x:v>
      </x:c>
      <x:c r="F168" s="6" t="str">
        <x:v>acceptance</x:v>
      </x:c>
      <x:c r="G168" s="6" t="str"/>
    </x:row>
    <x:row r="169" ht="88" customHeight="1">
      <x:c r="A169" s="6" t="str">
        <x:v>T02</x:v>
      </x:c>
      <x:c r="B169" s="6" t="str">
        <x:v>Change Colour Palette; updated thread chart</x:v>
      </x:c>
      <x:c r="C169" s="6" t="str">
        <x:v>Save a palette; invalidate affected derivatives and preserve prior chart versions.</x:v>
      </x:c>
      <x:c r="D169" s="6" t="str">
        <x:v>Reject an unsupported input or configuration; preserve source and previous revision on failure.</x:v>
      </x:c>
      <x:c r="E169" s="6" t="str">
        <x:v>G01, G03, G04, G05</x:v>
      </x:c>
      <x:c r="F169" s="6" t="str">
        <x:v>acceptance</x:v>
      </x:c>
      <x:c r="G169" s="6" t="str"/>
    </x:row>
    <x:row r="170" ht="88" customHeight="1">
      <x:c r="A170" s="6" t="str">
        <x:v>T03</x:v>
      </x:c>
      <x:c r="B170" s="6" t="str">
        <x:v>Fabric Setting / Fabric Selector</x:v>
      </x:c>
      <x:c r="C170" s="6" t="str">
        <x:v>Changing material invalidates affected QC/approval; inferred settings are labelled proposals.</x:v>
      </x:c>
      <x:c r="D170" s="6" t="str">
        <x:v>Reject an unsupported input or configuration; preserve source and previous revision on failure.</x:v>
      </x:c>
      <x:c r="E170" s="6" t="str">
        <x:v>G01, G03, G04, G05</x:v>
      </x:c>
      <x:c r="F170" s="6" t="str">
        <x:v>acceptance</x:v>
      </x:c>
      <x:c r="G170" s="6" t="str"/>
    </x:row>
    <x:row r="171" ht="88" customHeight="1">
      <x:c r="A171" s="6" t="str">
        <x:v>T04</x:v>
      </x:c>
      <x:c r="B171" s="6" t="str">
        <x:v>Create Split Embroidery Designs</x:v>
      </x:c>
      <x:c r="C171" s="6" t="str">
        <x:v>A multi-part output has no unaccounted gaps/duplicate sewn areas and includes placement instructions.</x:v>
      </x:c>
      <x:c r="D171" s="6" t="str">
        <x:v>Reject an unsupported input or configuration; preserve source and previous revision on failure.</x:v>
      </x:c>
      <x:c r="E171" s="6" t="str">
        <x:v>G01, G03, G04, G05</x:v>
      </x:c>
      <x:c r="F171" s="6" t="str">
        <x:v>acceptance</x:v>
      </x:c>
      <x:c r="G171" s="6" t="str"/>
    </x:row>
    <x:row r="172" ht="88" customHeight="1">
      <x:c r="A172" s="6" t="str">
        <x:v>T05</x:v>
      </x:c>
      <x:c r="B172" s="6" t="str">
        <x:v>Hoop Size: up to 360 x 360 / 272 x 408</x:v>
      </x:c>
      <x:c r="C172" s="6" t="str">
        <x:v>Canvas and export enforce the selected usable area; clamp keep-outs remain separate.</x:v>
      </x:c>
      <x:c r="D172" s="6" t="str">
        <x:v>Reject an unsupported input or configuration; preserve source and previous revision on failure.</x:v>
      </x:c>
      <x:c r="E172" s="6" t="str">
        <x:v>G01, G03, G04, G05</x:v>
      </x:c>
      <x:c r="F172" s="6" t="str">
        <x:v>acceptance</x:v>
      </x:c>
      <x:c r="G172" s="6" t="str"/>
    </x:row>
    <x:row r="173" ht="88" customHeight="1">
      <x:c r="A173" s="6" t="str">
        <x:v>T06</x:v>
      </x:c>
      <x:c r="B173" s="6" t="str">
        <x:v>Multi-Position Hoops</x:v>
      </x:c>
      <x:c r="C173" s="6" t="str">
        <x:v>Every position has a transform and uncertainty; accumulated registration error is evaluated.</x:v>
      </x:c>
      <x:c r="D173" s="6" t="str">
        <x:v>Reject an unsupported input or configuration; preserve source and previous revision on failure.</x:v>
      </x:c>
      <x:c r="E173" s="6" t="str">
        <x:v>G01, G03, G04, G05</x:v>
      </x:c>
      <x:c r="F173" s="6" t="str">
        <x:v>acceptance</x:v>
      </x:c>
      <x:c r="G173" s="6" t="str"/>
    </x:row>
    <x:row r="174" ht="88" customHeight="1">
      <x:c r="A174" s="6" t="str">
        <x:v>T07</x:v>
      </x:c>
      <x:c r="B174" s="6" t="str">
        <x:v>Jump Stitch Trimming Setting</x:v>
      </x:c>
      <x:c r="C174" s="6" t="str">
        <x:v>Decode raw jump/trim records; verify configured controller interpretation and residual travel.</x:v>
      </x:c>
      <x:c r="D174" s="6" t="str">
        <x:v>Reject an unsupported input or configuration; preserve source and previous revision on failure.</x:v>
      </x:c>
      <x:c r="E174" s="6" t="str">
        <x:v>G01, G03, G04, G05</x:v>
      </x:c>
      <x:c r="F174" s="6" t="str">
        <x:v>acceptance</x:v>
      </x:c>
      <x:c r="G174" s="6" t="str"/>
    </x:row>
    <x:row r="175" ht="88" customHeight="1">
      <x:c r="A175" s="6" t="str">
        <x:v>T08</x:v>
      </x:c>
      <x:c r="B175" s="6" t="str">
        <x:v>File Import</x:v>
      </x:c>
      <x:c r="C175" s="6" t="str">
        <x:v>Unknown/unsupported command variants fail or warn; original file retained.</x:v>
      </x:c>
      <x:c r="D175" s="6" t="str">
        <x:v>Reject an unsupported input or configuration; preserve source and previous revision on failure.</x:v>
      </x:c>
      <x:c r="E175" s="6" t="str">
        <x:v>G01, G03, G04, G05</x:v>
      </x:c>
      <x:c r="F175" s="6" t="str">
        <x:v>import</x:v>
      </x:c>
      <x:c r="G175" s="6" t="str"/>
    </x:row>
    <x:row r="176" ht="88" customHeight="1">
      <x:c r="A176" s="6" t="str">
        <x:v>T09</x:v>
      </x:c>
      <x:c r="B176" s="6" t="str">
        <x:v>File Export</x:v>
      </x:c>
      <x:c r="C176" s="6" t="str">
        <x:v>Compile/decode expected topology and verify machine acceptance where claimed.</x:v>
      </x:c>
      <x:c r="D176" s="6" t="str">
        <x:v>Reject an unsupported input or configuration; preserve source and previous revision on failure.</x:v>
      </x:c>
      <x:c r="E176" s="6" t="str">
        <x:v>G01, G03, G04, G05</x:v>
      </x:c>
      <x:c r="F176" s="6" t="str">
        <x:v>export</x:v>
      </x:c>
      <x:c r="G176" s="6" t="str"/>
    </x:row>
    <x:row r="177" ht="88" customHeight="1">
      <x:c r="A177" s="6" t="str">
        <x:v>T10</x:v>
      </x:c>
      <x:c r="B177" s="6" t="str">
        <x:v>PES Thumbnail Display</x:v>
      </x:c>
      <x:c r="C177" s="6" t="str">
        <x:v>Thumbnail matches selected bytes/revision; parser failures do not show a stale image.</x:v>
      </x:c>
      <x:c r="D177" s="6" t="str">
        <x:v>Reject an unsupported input or configuration; preserve source and previous revision on failure.</x:v>
      </x:c>
      <x:c r="E177" s="6" t="str">
        <x:v>G01, G03, G04, G05</x:v>
      </x:c>
      <x:c r="F177" s="6" t="str">
        <x:v>acceptance</x:v>
      </x:c>
      <x:c r="G177" s="6" t="str"/>
    </x:row>
    <x:row r="178" ht="88" customHeight="1">
      <x:c r="A178" s="6" t="str">
        <x:v>T11</x:v>
      </x:c>
      <x:c r="B178" s="6" t="str">
        <x:v>Import fcm (ScanNCut file)</x:v>
      </x:c>
      <x:c r="C178" s="6" t="str">
        <x:v>Units, cut outlines and limits survive import; FCM does not become stitches without digitising.</x:v>
      </x:c>
      <x:c r="D178" s="6" t="str">
        <x:v>Reject an unsupported input or configuration; preserve source and previous revision on failure.</x:v>
      </x:c>
      <x:c r="E178" s="6" t="str">
        <x:v>G01, G03, G04, G05</x:v>
      </x:c>
      <x:c r="F178" s="6" t="str">
        <x:v>import</x:v>
      </x:c>
      <x:c r="G178" s="6" t="str"/>
    </x:row>
    <x:row r="179" ht="88" customHeight="1">
      <x:c r="A179" s="6" t="str">
        <x:v>T12</x:v>
      </x:c>
      <x:c r="B179" s="6" t="str">
        <x:v>fcm (ScanNCut file) Export</x:v>
      </x:c>
      <x:c r="C179" s="6" t="str">
        <x:v>Reopen FCM and compare cut contours; an unsupported writer remains unavailable.</x:v>
      </x:c>
      <x:c r="D179" s="6" t="str">
        <x:v>Reject an unsupported input or configuration; preserve source and previous revision on failure.</x:v>
      </x:c>
      <x:c r="E179" s="6" t="str">
        <x:v>G01, G03, G04, G05</x:v>
      </x:c>
      <x:c r="F179" s="6" t="str">
        <x:v>export</x:v>
      </x:c>
      <x:c r="G179" s="6" t="str"/>
    </x:row>
    <x:row r="180" ht="88" customHeight="1">
      <x:c r="A180" s="6" t="str">
        <x:v>T13</x:v>
      </x:c>
      <x:c r="B180" s="6" t="str">
        <x:v>Link</x:v>
      </x:c>
      <x:c r="C180" s="6" t="str">
        <x:v>Retry/idempotency tests prevent duplicate delivery; receipt is not stitching-complete.</x:v>
      </x:c>
      <x:c r="D180" s="6" t="str">
        <x:v>Reject an unsupported input or configuration; preserve source and previous revision on failure.</x:v>
      </x:c>
      <x:c r="E180" s="6" t="str">
        <x:v>G01, G03, G04, G05</x:v>
      </x:c>
      <x:c r="F180" s="6" t="str">
        <x:v>transfer</x:v>
      </x:c>
      <x:c r="G180" s="6" t="str"/>
    </x:row>
    <x:row r="181" ht="88" customHeight="1">
      <x:c r="A181" s="6" t="str">
        <x:v>T14</x:v>
      </x:c>
      <x:c r="B181" s="6" t="str">
        <x:v>Wireless Export (Embroidery File)</x:v>
      </x:c>
      <x:c r="C181" s="6" t="str">
        <x:v>Check destination, artifact hash and delivery status; absence of a supported interface fails.</x:v>
      </x:c>
      <x:c r="D181" s="6" t="str">
        <x:v>Reject an unsupported input or configuration; preserve source and previous revision on failure.</x:v>
      </x:c>
      <x:c r="E181" s="6" t="str">
        <x:v>G01, G03, G04, G05</x:v>
      </x:c>
      <x:c r="F181" s="6" t="str">
        <x:v>transfer</x:v>
      </x:c>
      <x:c r="G181" s="6" t="str"/>
    </x:row>
    <x:row r="182" ht="88" customHeight="1">
      <x:c r="A182" s="6" t="str">
        <x:v>T15</x:v>
      </x:c>
      <x:c r="B182" s="6" t="str">
        <x:v>Wireless Import (Embroidery File)</x:v>
      </x:c>
      <x:c r="C182" s="6" t="str">
        <x:v>A send-only adapter cannot advertise or perform receive; retrieved bytes are retained.</x:v>
      </x:c>
      <x:c r="D182" s="6" t="str">
        <x:v>Reject an unsupported input or configuration; preserve source and previous revision on failure.</x:v>
      </x:c>
      <x:c r="E182" s="6" t="str">
        <x:v>G01, G03, G04, G05</x:v>
      </x:c>
      <x:c r="F182" s="6" t="str">
        <x:v>import</x:v>
      </x:c>
      <x:c r="G182" s="6" t="str"/>
    </x:row>
    <x:row r="183" ht="88" customHeight="1">
      <x:c r="A183" s="6" t="str">
        <x:v>T16</x:v>
      </x:c>
      <x:c r="B183" s="6" t="str">
        <x:v>Luminaire Innov-is XP1 wireless</x:v>
      </x:c>
      <x:c r="C183" s="6" t="str">
        <x:v>Version-specific round-trip and device receipt evidence required before advertising support.</x:v>
      </x:c>
      <x:c r="D183" s="6" t="str">
        <x:v>Reject an unsupported input or configuration; preserve source and previous revision on failure.</x:v>
      </x:c>
      <x:c r="E183" s="6" t="str">
        <x:v>G01, G03, G04, G05</x:v>
      </x:c>
      <x:c r="F183" s="6" t="str">
        <x:v>transfer</x:v>
      </x:c>
      <x:c r="G183" s="6" t="str"/>
    </x:row>
    <x:row r="184" ht="88" customHeight="1">
      <x:c r="A184" s="6" t="str">
        <x:v>T17</x:v>
      </x:c>
      <x:c r="B184" s="6" t="str">
        <x:v>Stellaire XE1/XJ1 wireless</x:v>
      </x:c>
      <x:c r="C184" s="6" t="str">
        <x:v>A result for one profile cannot automatically qualify the other.</x:v>
      </x:c>
      <x:c r="D184" s="6" t="str">
        <x:v>Reject an unsupported input or configuration; preserve source and previous revision on failure.</x:v>
      </x:c>
      <x:c r="E184" s="6" t="str">
        <x:v>G01, G03, G04, G05</x:v>
      </x:c>
      <x:c r="F184" s="6" t="str">
        <x:v>transfer</x:v>
      </x:c>
      <x:c r="G184" s="6" t="str"/>
    </x:row>
    <x:row r="185" ht="88" customHeight="1">
      <x:c r="A185" s="6" t="str">
        <x:v>T18</x:v>
      </x:c>
      <x:c r="B185" s="6" t="str">
        <x:v>Stitch Stimulation [source label]</x:v>
      </x:c>
      <x:c r="C185" s="6" t="str">
        <x:v>One event cursor drives decoded-file view and machine rig; assumptions are visible.</x:v>
      </x:c>
      <x:c r="D185" s="6" t="str">
        <x:v>Reject an unsupported input or configuration; preserve source and previous revision on failure.</x:v>
      </x:c>
      <x:c r="E185" s="6" t="str">
        <x:v>G01, G03, G04, G05</x:v>
      </x:c>
      <x:c r="F185" s="6" t="str">
        <x:v>acceptance</x:v>
      </x:c>
      <x:c r="G185" s="6" t="str"/>
    </x:row>
    <x:row r="186" ht="88" customHeight="1">
      <x:c r="A186" s="6" t="str">
        <x:v>T19</x:v>
      </x:c>
      <x:c r="B186" s="6" t="str">
        <x:v>Install Program: in PE Design Software Key</x:v>
      </x:c>
      <x:c r="C186" s="6" t="str">
        <x:v>Installation and restore work without dependency on a competitor dongle.</x:v>
      </x:c>
      <x:c r="D186" s="6" t="str">
        <x:v>Reject an unsupported input or configuration; preserve source and previous revision on failure.</x:v>
      </x:c>
      <x:c r="E186" s="6" t="str">
        <x:v>G01, G03, G04, G05</x:v>
      </x:c>
      <x:c r="F186" s="6" t="str">
        <x:v>acceptance</x:v>
      </x:c>
      <x:c r="G186" s="6" t="str"/>
    </x:row>
    <x:row r="187" ht="88" customHeight="1">
      <x:c r="A187" s="6" t="str">
        <x:v>T20</x:v>
      </x:c>
      <x:c r="B187" s="6" t="str">
        <x:v>Security Device: PE Design Software Key</x:v>
      </x:c>
      <x:c r="C187" s="6" t="str">
        <x:v>Expired/revoked entitlement policy never corrupts or traps user-owned project data.</x:v>
      </x:c>
      <x:c r="D187" s="6" t="str">
        <x:v>Reject an unsupported input or configuration; preserve source and previous revision on failure.</x:v>
      </x:c>
      <x:c r="E187" s="6" t="str">
        <x:v>G01, G03, G04, G05</x:v>
      </x:c>
      <x:c r="F187" s="6" t="str">
        <x:v>acceptance</x:v>
      </x:c>
      <x:c r="G187" s="6" t="str"/>
    </x:row>
    <x:row r="188" ht="88" customHeight="1">
      <x:c r="A188" s="6" t="str">
        <x:v>H01</x:v>
      </x:c>
      <x:c r="B188" s="6" t="str">
        <x:v>PC: IBM PC or compatible PC</x:v>
      </x:c>
      <x:c r="C188" s="6" t="str">
        <x:v>Run the specified component on a named host/profile and workload; report peak memory, installed/temp disk and limitations.</x:v>
      </x:c>
      <x:c r="D188" s="6" t="str">
        <x:v>Gateway-assisted access must not be labelled full native capability; no qualification without device evidence.</x:v>
      </x:c>
      <x:c r="E188" s="6" t="str">
        <x:v>G01, G03, G04</x:v>
      </x:c>
      <x:c r="F188" s="6" t="str">
        <x:v>host_test</x:v>
      </x:c>
      <x:c r="G188" s="6" t="str"/>
    </x:row>
    <x:row r="189" ht="88" customHeight="1">
      <x:c r="A189" s="6" t="str">
        <x:v>H02</x:v>
      </x:c>
      <x:c r="B189" s="6" t="str">
        <x:v>Windows 11/10/8.1/7</x:v>
      </x:c>
      <x:c r="C189" s="6" t="str">
        <x:v>Run the specified component on a named host/profile and workload; report peak memory, installed/temp disk and limitations.</x:v>
      </x:c>
      <x:c r="D189" s="6" t="str">
        <x:v>Gateway-assisted access must not be labelled full native capability; no qualification without device evidence.</x:v>
      </x:c>
      <x:c r="E189" s="6" t="str">
        <x:v>G01, G03, G04</x:v>
      </x:c>
      <x:c r="F189" s="6" t="str">
        <x:v>host_test</x:v>
      </x:c>
      <x:c r="G189" s="6" t="str"/>
    </x:row>
    <x:row r="190" ht="88" customHeight="1">
      <x:c r="A190" s="6" t="str">
        <x:v>H03</x:v>
      </x:c>
      <x:c r="B190" s="6" t="str">
        <x:v>Processor: 1 GHz or higher</x:v>
      </x:c>
      <x:c r="C190" s="6" t="str">
        <x:v>Run the specified component on a named host/profile and workload; report peak memory, installed/temp disk and limitations.</x:v>
      </x:c>
      <x:c r="D190" s="6" t="str">
        <x:v>Gateway-assisted access must not be labelled full native capability; no qualification without device evidence.</x:v>
      </x:c>
      <x:c r="E190" s="6" t="str">
        <x:v>G01, G03, G04</x:v>
      </x:c>
      <x:c r="F190" s="6" t="str">
        <x:v>host_test</x:v>
      </x:c>
      <x:c r="G190" s="6" t="str"/>
    </x:row>
    <x:row r="191" ht="88" customHeight="1">
      <x:c r="A191" s="6" t="str">
        <x:v>H04</x:v>
      </x:c>
      <x:c r="B191" s="6" t="str">
        <x:v>Main memory: 512 MB</x:v>
      </x:c>
      <x:c r="C191" s="6" t="str">
        <x:v>Run the specified component on a named host/profile and workload; report peak memory, installed/temp disk and limitations.</x:v>
      </x:c>
      <x:c r="D191" s="6" t="str">
        <x:v>Gateway-assisted access must not be labelled full native capability; no qualification without device evidence.</x:v>
      </x:c>
      <x:c r="E191" s="6" t="str">
        <x:v>G01, G03, G04</x:v>
      </x:c>
      <x:c r="F191" s="6" t="str">
        <x:v>host_test</x:v>
      </x:c>
      <x:c r="G191" s="6" t="str"/>
    </x:row>
    <x:row r="192" ht="88" customHeight="1">
      <x:c r="A192" s="6" t="str">
        <x:v>H05</x:v>
      </x:c>
      <x:c r="B192" s="6" t="str">
        <x:v>Memory: 1 GB or more recommended</x:v>
      </x:c>
      <x:c r="C192" s="6" t="str">
        <x:v>Run the specified component on a named host/profile and workload; report peak memory, installed/temp disk and limitations.</x:v>
      </x:c>
      <x:c r="D192" s="6" t="str">
        <x:v>Gateway-assisted access must not be labelled full native capability; no qualification without device evidence.</x:v>
      </x:c>
      <x:c r="E192" s="6" t="str">
        <x:v>G01, G03, G04</x:v>
      </x:c>
      <x:c r="F192" s="6" t="str">
        <x:v>host_test</x:v>
      </x:c>
      <x:c r="G192" s="6" t="str"/>
    </x:row>
    <x:row r="193" ht="88" customHeight="1">
      <x:c r="A193" s="6" t="str">
        <x:v>H06</x:v>
      </x:c>
      <x:c r="B193" s="6" t="str">
        <x:v>Hard drive capacity: 300 MB</x:v>
      </x:c>
      <x:c r="C193" s="6" t="str">
        <x:v>Run the specified component on a named host/profile and workload; report peak memory, installed/temp disk and limitations.</x:v>
      </x:c>
      <x:c r="D193" s="6" t="str">
        <x:v>Gateway-assisted access must not be labelled full native capability; no qualification without device evidence.</x:v>
      </x:c>
      <x:c r="E193" s="6" t="str">
        <x:v>G01, G03, G04</x:v>
      </x:c>
      <x:c r="F193" s="6" t="str">
        <x:v>host_test</x:v>
      </x:c>
      <x:c r="G193" s="6" t="str"/>
    </x:row>
    <x:row r="194" ht="88" customHeight="1">
      <x:c r="A194" s="6" t="str">
        <x:v>H07</x:v>
      </x:c>
      <x:c r="B194" s="6" t="str">
        <x:v>Monitor: XGA 1024 x 768, 16-bit colour or higher</x:v>
      </x:c>
      <x:c r="C194" s="6" t="str">
        <x:v>Run the specified component on a named host/profile and workload; report peak memory, installed/temp disk and limitations.</x:v>
      </x:c>
      <x:c r="D194" s="6" t="str">
        <x:v>Gateway-assisted access must not be labelled full native capability; no qualification without device evidence.</x:v>
      </x:c>
      <x:c r="E194" s="6" t="str">
        <x:v>G01, G03, G04</x:v>
      </x:c>
      <x:c r="F194" s="6" t="str">
        <x:v>host_test</x:v>
      </x:c>
      <x:c r="G194" s="6" t="str"/>
    </x:row>
    <x:row r="195" ht="88" customHeight="1">
      <x:c r="A195" s="6" t="str">
        <x:v>H08</x:v>
      </x:c>
      <x:c r="B195" s="6" t="str">
        <x:v>Ports: 2 x USB</x:v>
      </x:c>
      <x:c r="C195" s="6" t="str">
        <x:v>Run the specified component on a named host/profile and workload; report peak memory, installed/temp disk and limitations.</x:v>
      </x:c>
      <x:c r="D195" s="6" t="str">
        <x:v>Gateway-assisted access must not be labelled full native capability; no qualification without device evidence.</x:v>
      </x:c>
      <x:c r="E195" s="6" t="str">
        <x:v>G01, G03, G04</x:v>
      </x:c>
      <x:c r="F195" s="6" t="str">
        <x:v>host_test</x:v>
      </x:c>
      <x:c r="G195" s="6" t="str"/>
    </x:row>
    <x:row r="196" ht="88" customHeight="1">
      <x:c r="A196" s="6" t="str">
        <x:v>H09</x:v>
      </x:c>
      <x:c r="B196" s="6" t="str">
        <x:v>Internet access required for upgrade</x:v>
      </x:c>
      <x:c r="C196" s="6" t="str">
        <x:v>Run the specified component on a named host/profile and workload; report peak memory, installed/temp disk and limitations.</x:v>
      </x:c>
      <x:c r="D196" s="6" t="str">
        <x:v>Gateway-assisted access must not be labelled full native capability; no qualification without device evidence.</x:v>
      </x:c>
      <x:c r="E196" s="6" t="str">
        <x:v>G01, G03, G04</x:v>
      </x:c>
      <x:c r="F196" s="6" t="str">
        <x:v>host_test</x:v>
      </x:c>
      <x:c r="G196" s="6" t="str"/>
    </x:row>
    <x:row r="197" ht="88" customHeight="1">
      <x:c r="A197" s="6" t="str">
        <x:v>H10</x:v>
      </x:c>
      <x:c r="B197" s="6" t="str">
        <x:v>Minimum PC table: Windows 7/8.1/10, 1 GB recommended, 2 USB</x:v>
      </x:c>
      <x:c r="C197" s="6" t="str">
        <x:v>Run the specified component on a named host/profile and workload; report peak memory, installed/temp disk and limitations.</x:v>
      </x:c>
      <x:c r="D197" s="6" t="str">
        <x:v>Gateway-assisted access must not be labelled full native capability; no qualification without device evidence.</x:v>
      </x:c>
      <x:c r="E197" s="6" t="str">
        <x:v>G01, G03, G04</x:v>
      </x:c>
      <x:c r="F197" s="6" t="str">
        <x:v>host_test</x:v>
      </x:c>
      <x:c r="G197" s="6" t="str"/>
    </x:row>
    <x:row r="198" ht="88" customHeight="1">
      <x:c r="A198" s="6" t="str">
        <x:v>X01</x:v>
      </x:c>
      <x:c r="B198" s="6" t="str">
        <x:v>Role-based shared workspace</x:v>
      </x:c>
      <x:c r="C198" s="6" t="str">
        <x:v>Pre-register a task-specific acceptance protocol, execute it on a declared target and bind all results to build/profile/artifact IDs.</x:v>
      </x:c>
      <x:c r="D198" s="6" t="str">
        <x:v>Reject unknown capabilities, missing evidence, stale revisions and unsupported artifact-kind conversions.</x:v>
      </x:c>
      <x:c r="E198" s="6" t="str">
        <x:v>G01, G03, G04, G05</x:v>
      </x:c>
      <x:c r="F198" s="6" t="str">
        <x:v>acceptance</x:v>
      </x:c>
      <x:c r="G198" s="6" t="str"/>
    </x:row>
    <x:row r="199" ht="88" customHeight="1">
      <x:c r="A199" s="6" t="str">
        <x:v>X02</x:v>
      </x:c>
      <x:c r="B199" s="6" t="str">
        <x:v>Independent typed AI proposals</x:v>
      </x:c>
      <x:c r="C199" s="6" t="str">
        <x:v>Pre-register a task-specific acceptance protocol, execute it on a declared target and bind all results to build/profile/artifact IDs.</x:v>
      </x:c>
      <x:c r="D199" s="6" t="str">
        <x:v>Reject unknown capabilities, missing evidence, stale revisions and unsupported artifact-kind conversions.</x:v>
      </x:c>
      <x:c r="E199" s="6" t="str">
        <x:v>G01, G03, G04, G05</x:v>
      </x:c>
      <x:c r="F199" s="6" t="str">
        <x:v>acceptance</x:v>
      </x:c>
      <x:c r="G199" s="6" t="str"/>
    </x:row>
    <x:row r="200" ht="88" customHeight="1">
      <x:c r="A200" s="6" t="str">
        <x:v>X03</x:v>
      </x:c>
      <x:c r="B200" s="6" t="str">
        <x:v>Export-faithful twin</x:v>
      </x:c>
      <x:c r="C200" s="6" t="str">
        <x:v>Pre-register a task-specific acceptance protocol, execute it on a declared target and bind all results to build/profile/artifact IDs.</x:v>
      </x:c>
      <x:c r="D200" s="6" t="str">
        <x:v>Reject unknown capabilities, missing evidence, stale revisions and unsupported artifact-kind conversions.</x:v>
      </x:c>
      <x:c r="E200" s="6" t="str">
        <x:v>G01, G03, G04, G05</x:v>
      </x:c>
      <x:c r="F200" s="6" t="str">
        <x:v>acceptance</x:v>
      </x:c>
      <x:c r="G200" s="6" t="str"/>
    </x:row>
    <x:row r="201" ht="88" customHeight="1">
      <x:c r="A201" s="6" t="str">
        <x:v>X04</x:v>
      </x:c>
      <x:c r="B201" s="6" t="str">
        <x:v>Multi-vendor machine calibration</x:v>
      </x:c>
      <x:c r="C201" s="6" t="str">
        <x:v>Pre-register a task-specific acceptance protocol, execute it on a declared target and bind all results to build/profile/artifact IDs.</x:v>
      </x:c>
      <x:c r="D201" s="6" t="str">
        <x:v>Reject unknown capabilities, missing evidence, stale revisions and unsupported artifact-kind conversions.</x:v>
      </x:c>
      <x:c r="E201" s="6" t="str">
        <x:v>G01, G03, G04, G05</x:v>
      </x:c>
      <x:c r="F201" s="6" t="str">
        <x:v>acceptance</x:v>
      </x:c>
      <x:c r="G201" s="6" t="str"/>
    </x:row>
    <x:row r="202" ht="88" customHeight="1">
      <x:c r="A202" s="6" t="str">
        <x:v>X05</x:v>
      </x:c>
      <x:c r="B202" s="6" t="str">
        <x:v>Operating-system independence</x:v>
      </x:c>
      <x:c r="C202" s="6" t="str">
        <x:v>Pre-register a task-specific acceptance protocol, execute it on a declared target and bind all results to build/profile/artifact IDs.</x:v>
      </x:c>
      <x:c r="D202" s="6" t="str">
        <x:v>Reject unknown capabilities, missing evidence, stale revisions and unsupported artifact-kind conversions.</x:v>
      </x:c>
      <x:c r="E202" s="6" t="str">
        <x:v>G01, G03, G04, G05</x:v>
      </x:c>
      <x:c r="F202" s="6" t="str">
        <x:v>acceptance</x:v>
      </x:c>
      <x:c r="G202" s="6" t="str"/>
    </x:row>
    <x:row r="203" ht="88" customHeight="1">
      <x:c r="A203" s="6" t="str">
        <x:v>X06</x:v>
      </x:c>
      <x:c r="B203" s="6" t="str">
        <x:v>Proof-linked original/embroidery/PDF/cutting/sewing views</x:v>
      </x:c>
      <x:c r="C203" s="6" t="str">
        <x:v>Pre-register a task-specific acceptance protocol, execute it on a declared target and bind all results to build/profile/artifact IDs.</x:v>
      </x:c>
      <x:c r="D203" s="6" t="str">
        <x:v>Reject unknown capabilities, missing evidence, stale revisions and unsupported artifact-kind conversions.</x:v>
      </x:c>
      <x:c r="E203" s="6" t="str">
        <x:v>G01, G03, G04, G05</x:v>
      </x:c>
      <x:c r="F203" s="6" t="str">
        <x:v>acceptance</x:v>
      </x:c>
      <x:c r="G203" s="6" t="str"/>
    </x:row>
    <x:row r="204" ht="88" customHeight="1">
      <x:c r="A204" s="6" t="str">
        <x:v>X07</x:v>
      </x:c>
      <x:c r="B204" s="6" t="str">
        <x:v>Continuous repair suggestions</x:v>
      </x:c>
      <x:c r="C204" s="6" t="str">
        <x:v>Pre-register a task-specific acceptance protocol, execute it on a declared target and bind all results to build/profile/artifact IDs.</x:v>
      </x:c>
      <x:c r="D204" s="6" t="str">
        <x:v>Reject unknown capabilities, missing evidence, stale revisions and unsupported artifact-kind conversions.</x:v>
      </x:c>
      <x:c r="E204" s="6" t="str">
        <x:v>G01, G03, G04, G05</x:v>
      </x:c>
      <x:c r="F204" s="6" t="str">
        <x:v>acceptance</x:v>
      </x:c>
      <x:c r="G204" s="6" t="str"/>
    </x:row>
    <x:row r="205" ht="88" customHeight="1">
      <x:c r="A205" s="6" t="str">
        <x:v>X08</x:v>
      </x:c>
      <x:c r="B205" s="6" t="str">
        <x:v>Outcome benchmark corpus</x:v>
      </x:c>
      <x:c r="C205" s="6" t="str">
        <x:v>Pre-register a task-specific acceptance protocol, execute it on a declared target and bind all results to build/profile/artifact IDs.</x:v>
      </x:c>
      <x:c r="D205" s="6" t="str">
        <x:v>Reject unknown capabilities, missing evidence, stale revisions and unsupported artifact-kind conversions.</x:v>
      </x:c>
      <x:c r="E205" s="6" t="str">
        <x:v>G01, G03, G04, G05</x:v>
      </x:c>
      <x:c r="F205" s="6" t="str">
        <x:v>acceptance</x:v>
      </x:c>
      <x:c r="G205" s="6" t="str"/>
    </x:row>
    <x:row r="206" ht="88" customHeight="1">
      <x:c r="A206" s="6" t="str">
        <x:v>X09</x:v>
      </x:c>
      <x:c r="B206" s="6" t="str">
        <x:v>Offline-first core and portable projects</x:v>
      </x:c>
      <x:c r="C206" s="6" t="str">
        <x:v>Pre-register a task-specific acceptance protocol, execute it on a declared target and bind all results to build/profile/artifact IDs.</x:v>
      </x:c>
      <x:c r="D206" s="6" t="str">
        <x:v>Reject unknown capabilities, missing evidence, stale revisions and unsupported artifact-kind conversions.</x:v>
      </x:c>
      <x:c r="E206" s="6" t="str">
        <x:v>G01, G03, G04, G05</x:v>
      </x:c>
      <x:c r="F206" s="6" t="str">
        <x:v>acceptance</x:v>
      </x:c>
      <x:c r="G206" s="6" t="str"/>
    </x:row>
    <x:row r="207" ht="88" customHeight="1">
      <x:c r="A207" s="6" t="str">
        <x:v>X10</x:v>
      </x:c>
      <x:c r="B207" s="6" t="str">
        <x:v>Interoperability specification</x:v>
      </x:c>
      <x:c r="C207" s="6" t="str">
        <x:v>Pre-register a task-specific acceptance protocol, execute it on a declared target and bind all results to build/profile/artifact IDs.</x:v>
      </x:c>
      <x:c r="D207" s="6" t="str">
        <x:v>Reject unknown capabilities, missing evidence, stale revisions and unsupported artifact-kind conversions.</x:v>
      </x:c>
      <x:c r="E207" s="6" t="str">
        <x:v>G01, G03, G04, G05</x:v>
      </x:c>
      <x:c r="F207" s="6" t="str">
        <x:v>acceptance</x:v>
      </x:c>
      <x:c r="G207" s="6" t="str"/>
    </x:row>
    <x:row r="208" ht="88" customHeight="1">
      <x:c r="A208" s="6" t="str">
        <x:v>X11</x:v>
      </x:c>
      <x:c r="B208" s="6" t="str">
        <x:v>Supply-chain and parser security</x:v>
      </x:c>
      <x:c r="C208" s="6" t="str">
        <x:v>Pre-register a task-specific acceptance protocol, execute it on a declared target and bind all results to build/profile/artifact IDs.</x:v>
      </x:c>
      <x:c r="D208" s="6" t="str">
        <x:v>Reject unknown capabilities, missing evidence, stale revisions and unsupported artifact-kind conversions.</x:v>
      </x:c>
      <x:c r="E208" s="6" t="str">
        <x:v>G01, G03, G04, G05</x:v>
      </x:c>
      <x:c r="F208" s="6" t="str">
        <x:v>acceptance</x:v>
      </x:c>
      <x:c r="G208" s="6" t="str"/>
    </x:row>
    <x:row r="209" ht="88" customHeight="1">
      <x:c r="A209" s="6" t="str">
        <x:v>X12</x:v>
      </x:c>
      <x:c r="B209" s="6" t="str">
        <x:v>True chain/chenille and specialty tooling</x:v>
      </x:c>
      <x:c r="C209" s="6" t="str">
        <x:v>Pre-register a task-specific acceptance protocol, execute it on a declared target and bind all results to build/profile/artifact IDs.</x:v>
      </x:c>
      <x:c r="D209" s="6" t="str">
        <x:v>Reject unknown capabilities, missing evidence, stale revisions and unsupported artifact-kind conversions.</x:v>
      </x:c>
      <x:c r="E209" s="6" t="str">
        <x:v>G01, G03, G04, G05</x:v>
      </x:c>
      <x:c r="F209" s="6" t="str">
        <x:v>acceptance</x:v>
      </x:c>
      <x:c r="G209" s="6" t="str"/>
    </x:row>
    <x:row r="210" ht="88" customHeight="1">
      <x:c r="A210" s="6" t="str">
        <x:v>X13</x:v>
      </x:c>
      <x:c r="B210" s="6" t="str">
        <x:v>Predictable cancellation and compute budgets</x:v>
      </x:c>
      <x:c r="C210" s="6" t="str">
        <x:v>Pre-register a task-specific acceptance protocol, execute it on a declared target and bind all results to build/profile/artifact IDs.</x:v>
      </x:c>
      <x:c r="D210" s="6" t="str">
        <x:v>Reject unknown capabilities, missing evidence, stale revisions and unsupported artifact-kind conversions.</x:v>
      </x:c>
      <x:c r="E210" s="6" t="str">
        <x:v>G01, G03, G04, G05</x:v>
      </x:c>
      <x:c r="F210" s="6" t="str">
        <x:v>acceptance</x:v>
      </x:c>
      <x:c r="G210" s="6" t="str"/>
    </x:row>
    <x:row r="211" ht="88" customHeight="1">
      <x:c r="A211" s="6" t="str">
        <x:v>X14</x:v>
      </x:c>
      <x:c r="B211" s="6" t="str">
        <x:v>Accessibility and Apple-inspired controls</x:v>
      </x:c>
      <x:c r="C211" s="6" t="str">
        <x:v>Pre-register a task-specific acceptance protocol, execute it on a declared target and bind all results to build/profile/artifact IDs.</x:v>
      </x:c>
      <x:c r="D211" s="6" t="str">
        <x:v>Reject unknown capabilities, missing evidence, stale revisions and unsupported artifact-kind conversions.</x:v>
      </x:c>
      <x:c r="E211" s="6" t="str">
        <x:v>G01, G03, G04, G05</x:v>
      </x:c>
      <x:c r="F211" s="6" t="str">
        <x:v>acceptance</x:v>
      </x:c>
      <x:c r="G211" s="6" t="str"/>
    </x:row>
  </x:sheetData>
  <x:pageMargins left="0.7" right="0.7" top="0.75" bottom="0.75" header="0.3" footer="0.3"/>
  <x:tableParts count="1">
    <x:tablePart xmlns:r="http://schemas.openxmlformats.org/officeDocument/2006/relationships" r:id="R325a55ffc73743f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5" hidden="0" customWidth="1"/>
    <x:col min="4" max="4" width="66" hidden="0" customWidth="1"/>
    <x:col min="5" max="5" width="70" hidden="0" customWidth="1"/>
  </x:cols>
  <x:sheetData>
    <x:row r="1" ht="32" customHeight="1">
      <x:c r="A1" s="11" t="str">
        <x:v>Source ID</x:v>
      </x:c>
      <x:c r="B1" s="11" t="str">
        <x:v>Title / provenance</x:v>
      </x:c>
      <x:c r="C1" s="11" t="str">
        <x:v>Source type</x:v>
      </x:c>
      <x:c r="D1" s="11" t="str">
        <x:v>URL</x:v>
      </x:c>
      <x:c r="E1" s="11" t="str">
        <x:v>Interpretation / scope</x:v>
      </x:c>
    </x:row>
    <x:row r="2" ht="74" customHeight="1">
      <x:c r="A2" s="6" t="str">
        <x:v>U1</x:v>
      </x:c>
      <x:c r="B2" s="6" t="str">
        <x:v>User-supplied feature list, current conversation, 11 October 2026</x:v>
      </x:c>
      <x:c r="C2" s="6" t="str">
        <x:v>user_supplied</x:v>
      </x:c>
      <x:c r="D2" s="6" t="str"/>
      <x:c r="E2" s="6" t="str">
        <x:v>Primary feature baseline; repeated mentions become aliases; mixed font totals and unlabelled product fragments retained.</x:v>
      </x:c>
    </x:row>
    <x:row r="3" ht="74" customHeight="1">
      <x:c r="A3" s="6" t="str">
        <x:v>U2</x:v>
      </x:c>
      <x:c r="B3" s="6" t="str">
        <x:v>User screenshot: Brother Creative Blog and Artspira</x:v>
      </x:c>
      <x:c r="C3" s="6" t="str">
        <x:v>user_supplied</x:v>
      </x:c>
      <x:c r="D3" s="6" t="str"/>
      <x:c r="E3" s="6" t="str">
        <x:v>Inspiration, tutorials, projects, mobile drawing, monthly content, compatible-machine wireless transfer.</x:v>
      </x:c>
    </x:row>
    <x:row r="4" ht="74" customHeight="1">
      <x:c r="A4" s="6" t="str">
        <x:v>L02</x:v>
      </x:c>
      <x:c r="B4" s="6" t="str">
        <x:v>EmbroideryOS Compatibility Compare 0.2 attachment</x:v>
      </x:c>
      <x:c r="C4" s="6" t="str">
        <x:v>prior_artifact</x:v>
      </x:c>
      <x:c r="D4" s="6" t="str"/>
      <x:c r="E4" s="6" t="str">
        <x:v>54 inherited records preserved byte-for-byte in inherited/compatibility-coverage-0.2.json; requirements, not device qualification.</x:v>
      </x:c>
    </x:row>
    <x:row r="5" ht="74" customHeight="1">
      <x:c r="A5" s="6" t="str">
        <x:v>M1</x:v>
      </x:c>
      <x:c r="B5" s="6" t="str">
        <x:v>EmbroideryOS TwinLab M1 validation attachment</x:v>
      </x:c>
      <x:c r="C5" s="6" t="str">
        <x:v>prior_artifact</x:v>
      </x:c>
      <x:c r="D5" s="6" t="str"/>
      <x:c r="E5" s="6" t="str">
        <x:v>Candidate; fixture checks reported; native integration and full served-origin browser gate not passed.</x:v>
      </x:c>
    </x:row>
    <x:row r="6" ht="74" customHeight="1">
      <x:c r="A6" s="6" t="str">
        <x:v>R1</x:v>
      </x:c>
      <x:c r="B6" s="6" t="str">
        <x:v>DST-Embroidery-AI engine documentation at inspected commit</x:v>
      </x:c>
      <x:c r="C6" s="6" t="str">
        <x:v>repository</x:v>
      </x:c>
      <x:c r="D6" s="6" t="str">
        <x:v>https://github.com/FrankAsanteVanLaarhoven/DST-Embroidery-AI/blob/98303601416a3b0d68eae37e939031732bd77c45/docs/engine.md</x:v>
      </x:c>
      <x:c r="E6" s="6" t="str">
        <x:v>Running, constrained satin, single-ring fill; no motif/applique generator, clipping/holes, segmentation agent or other exporters.</x:v>
      </x:c>
    </x:row>
    <x:row r="7" ht="74" customHeight="1">
      <x:c r="A7" s="6" t="str">
        <x:v>B1</x:v>
      </x:c>
      <x:c r="B7" s="6" t="str">
        <x:v>Brother PE-Design 11 UK product page</x:v>
      </x:c>
      <x:c r="C7" s="6" t="str">
        <x:v>vendor_documentation</x:v>
      </x:c>
      <x:c r="D7" s="6" t="str">
        <x:v>https://sewingcraft.brother.eu/en/products/machines/pe-design-software/pe-design-11</x:v>
      </x:c>
      <x:c r="E7" s="6" t="str">
        <x:v>Vendor-reported specifications, not an independent benchmark; page has 100/130/hundreds font wording.</x:v>
      </x:c>
    </x:row>
    <x:row r="8" ht="74" customHeight="1">
      <x:c r="A8" s="6" t="str">
        <x:v>B2</x:v>
      </x:c>
      <x:c r="B8" s="6" t="str">
        <x:v>Brother PE-Design 11 manual: setting the sew type</x:v>
      </x:c>
      <x:c r="C8" s="6" t="str">
        <x:v>vendor_documentation</x:v>
      </x:c>
      <x:c r="D8" s="6" t="str">
        <x:v>https://support.brother.com/g/s/hf/htmldoc/ped/im/ped11/en/PED11_EN/pages/04_2106044.html</x:v>
      </x:c>
      <x:c r="E8" s="6" t="str">
        <x:v>9 line groups and 14 named region families; the manual groups concentric/radial/spiral together.</x:v>
      </x:c>
    </x:row>
    <x:row r="9" ht="74" customHeight="1">
      <x:c r="A9" s="6" t="str">
        <x:v>B3</x:v>
      </x:c>
      <x:c r="B9" s="6" t="str">
        <x:v>Brother manual: Basic Stitch Design Factory Operations</x:v>
      </x:c>
      <x:c r="C9" s="6" t="str">
        <x:v>vendor_documentation</x:v>
      </x:c>
      <x:c r="D9" s="6" t="str">
        <x:v>https://support.brother.com/g/s/hf/htmldoc/ped/im/ped11/en/PED11.2_EN/pages/14_1207549.html</x:v>
      </x:c>
      <x:c r="E9" s="6" t="str">
        <x:v>Decorative sewing stitch editor; expressly not an embroidery-pattern creator.</x:v>
      </x:c>
    </x:row>
    <x:row r="10" ht="74" customHeight="1">
      <x:c r="A10" s="6" t="str">
        <x:v>B4</x:v>
      </x:c>
      <x:c r="B10" s="6" t="str">
        <x:v>Brother manual: Sending a pattern to CanvasWorkspace</x:v>
      </x:c>
      <x:c r="C10" s="6" t="str">
        <x:v>vendor_documentation</x:v>
      </x:c>
      <x:c r="D10" s="6" t="str">
        <x:v>https://support.brother.com/g/s/hf/htmldoc/ped/im/ped11/en/PED11_EN/pages/09_1806110.html</x:v>
      </x:c>
      <x:c r="E10" s="6" t="str">
        <x:v>FCM is cutting data; route has size/object limits. Does not establish third-party API availability.</x:v>
      </x:c>
    </x:row>
    <x:row r="11" ht="74" customHeight="1">
      <x:c r="A11" s="6" t="str">
        <x:v>B5</x:v>
      </x:c>
      <x:c r="B11" s="6" t="str">
        <x:v>Brother Artspira current regional page</x:v>
      </x:c>
      <x:c r="C11" s="6" t="str">
        <x:v>vendor_documentation</x:v>
      </x:c>
      <x:c r="D11" s="6" t="str">
        <x:v>https://sewingcraft.brother.eu/en/artspira</x:v>
      </x:c>
      <x:c r="E11" s="6" t="str">
        <x:v>Mobile app, content tiers and compatible machines; capabilities vary by region/version/plan.</x:v>
      </x:c>
    </x:row>
    <x:row r="12" ht="74" customHeight="1">
      <x:c r="A12" s="6" t="str">
        <x:v>B6</x:v>
      </x:c>
      <x:c r="B12" s="6" t="str">
        <x:v>Brother PE-Design 11 new features</x:v>
      </x:c>
      <x:c r="C12" s="6" t="str">
        <x:v>vendor_documentation</x:v>
      </x:c>
      <x:c r="D12" s="6" t="str">
        <x:v>https://support.brother.com/g/s/hf/ped_info/ped11/new_features/en/ped11_newfeatures.html</x:v>
      </x:c>
      <x:c r="E12" s="6" t="str">
        <x:v>Quilting, font mapping, photo stitch, array copies and decorative sewing workflow.</x:v>
      </x:c>
    </x:row>
    <x:row r="13" ht="74" customHeight="1">
      <x:c r="A13" s="6" t="str">
        <x:v>B7</x:v>
      </x:c>
      <x:c r="B13" s="6" t="str">
        <x:v>Brother PE-Design 11 update history</x:v>
      </x:c>
      <x:c r="C13" s="6" t="str">
        <x:v>vendor_documentation</x:v>
      </x:c>
      <x:c r="D13" s="6" t="str">
        <x:v>https://support.brother.com/g/s/hf/ped_info/ped11/one_click_update/en/ped11update_info.html</x:v>
      </x:c>
      <x:c r="E13" s="6" t="str">
        <x:v>Version-specific hoops/PES revisions, Wireless Link and PMP compatibility; not universal machine support.</x:v>
      </x:c>
    </x:row>
    <x:row r="14" ht="74" customHeight="1">
      <x:c r="A14" s="6" t="str">
        <x:v>B8</x:v>
      </x:c>
      <x:c r="B14" s="6" t="str">
        <x:v>Brother manual: setting text attributes</x:v>
      </x:c>
      <x:c r="C14" s="6" t="str">
        <x:v>vendor_documentation</x:v>
      </x:c>
      <x:c r="D14" s="6" t="str">
        <x:v>https://support.brother.com/g/s/hf/htmldoc/ped/im/ped11/en/PED11.2_EN/pages/05_1810676.html</x:v>
      </x:c>
      <x:c r="E14" s="6" t="str">
        <x:v>Built-in/custom/TrueType distinction; minimum sizes; conversion caveats.</x:v>
      </x:c>
    </x:row>
    <x:row r="15" ht="74" customHeight="1">
      <x:c r="A15" s="6" t="str">
        <x:v>B9</x:v>
      </x:c>
      <x:c r="B15" s="6" t="str">
        <x:v>Brother manual: line sewing attributes</x:v>
      </x:c>
      <x:c r="C15" s="6" t="str">
        <x:v>vendor_documentation</x:v>
      </x:c>
      <x:c r="D15" s="6" t="str">
        <x:v>https://support.brother.com/g/s/hf/htmldoc/ped/im/ped11/en/PED11_EN/pages/16_1293378.html</x:v>
      </x:c>
      <x:c r="E15" s="6" t="str">
        <x:v>Chain decorative pattern and cutwork settings; does not equate chain appearance with a chain-stitch mechanism.</x:v>
      </x:c>
    </x:row>
    <x:row r="16" ht="74" customHeight="1">
      <x:c r="A16" s="6" t="str">
        <x:v>B10</x:v>
      </x:c>
      <x:c r="B16" s="6" t="str">
        <x:v>Brother creative inspiration page</x:v>
      </x:c>
      <x:c r="C16" s="6" t="str">
        <x:v>vendor_documentation</x:v>
      </x:c>
      <x:c r="D16" s="6" t="str">
        <x:v>https://sewingcraft.brother.eu/en/inspiration-and-events</x:v>
      </x:c>
      <x:c r="E16" s="6" t="str">
        <x:v>Matches screenshot: projects, tutorials and compatible-machine Artspira workflows.</x:v>
      </x:c>
    </x:row>
    <x:row r="17" ht="74" customHeight="1">
      <x:c r="A17" s="6" t="str">
        <x:v>E1</x:v>
      </x:c>
      <x:c r="B17" s="6" t="str">
        <x:v>Embird official site</x:v>
      </x:c>
      <x:c r="C17" s="6" t="str">
        <x:v>vendor_documentation</x:v>
      </x:c>
      <x:c r="D17" s="6" t="str">
        <x:v>https://www.embird.net/</x:v>
      </x:c>
      <x:c r="E17" s="6" t="str">
        <x:v>Reports more than 70 formats and over 20 machine brands; individual read/write/versions require scrutiny.</x:v>
      </x:c>
    </x:row>
    <x:row r="18" ht="74" customHeight="1">
      <x:c r="A18" s="6" t="str">
        <x:v>N1</x:v>
      </x:c>
      <x:c r="B18" s="6" t="str">
        <x:v>BERNINA V9 product levels</x:v>
      </x:c>
      <x:c r="C18" s="6" t="str">
        <x:v>vendor_documentation</x:v>
      </x:c>
      <x:c r="D18" s="6" t="str">
        <x:v>https://softwarehelp.bernina.com/en/MainHelp/PART_Release/introduction/introduction-2.htm</x:v>
      </x:c>
      <x:c r="E18" s="6" t="str">
        <x:v>Creator and DesignerPlus are product levels; DesignerPlus includes Cross Stitch and Quilter. Do not treat capabilities as identical.</x:v>
      </x:c>
    </x:row>
    <x:row r="19" ht="74" customHeight="1">
      <x:c r="A19" s="6" t="str">
        <x:v>W1</x:v>
      </x:c>
      <x:c r="B19" s="6" t="str">
        <x:v>WilcomWorkspace Truesizer</x:v>
      </x:c>
      <x:c r="C19" s="6" t="str">
        <x:v>vendor_documentation</x:v>
      </x:c>
      <x:c r="D19" s="6" t="str">
        <x:v>https://wilcom.com/workspace/truesizer</x:v>
      </x:c>
      <x:c r="E19" s="6" t="str">
        <x:v>Browser view, resize/recalculate, recolour, export and worksheets; not evidence of every desktop digitising feature in the browser.</x:v>
      </x:c>
    </x:row>
    <x:row r="20" ht="74" customHeight="1">
      <x:c r="A20" s="6" t="str">
        <x:v>W2</x:v>
      </x:c>
      <x:c r="B20" s="6" t="str">
        <x:v>WilcomWorkspace suite</x:v>
      </x:c>
      <x:c r="C20" s="6" t="str">
        <x:v>vendor_documentation</x:v>
      </x:c>
      <x:c r="D20" s="6" t="str">
        <x:v>https://wilcom.com/workspace</x:v>
      </x:c>
      <x:c r="E20" s="6" t="str">
        <x:v>Cloud design management and team workflows; do not assume full CAD or digital-twin parity.</x:v>
      </x:c>
    </x:row>
    <x:row r="21" ht="74" customHeight="1">
      <x:c r="A21" s="6" t="str">
        <x:v>W3</x:v>
      </x:c>
      <x:c r="B21" s="6" t="str">
        <x:v>Wilcom EmbroideryStudio 2026</x:v>
      </x:c>
      <x:c r="C21" s="6" t="str">
        <x:v>vendor_documentation</x:v>
      </x:c>
      <x:c r="D21" s="6" t="str">
        <x:v>https://wilcom.com/embroiderystudio</x:v>
      </x:c>
      <x:c r="E21" s="6" t="str">
        <x:v>Separate desktop product/version from Workspace.</x:v>
      </x:c>
    </x:row>
    <x:row r="22" ht="74" customHeight="1">
      <x:c r="A22" s="6" t="str">
        <x:v>I1</x:v>
      </x:c>
      <x:c r="B22" s="6" t="str">
        <x:v>ISO 23247-1:2021 public catalogue</x:v>
      </x:c>
      <x:c r="C22" s="6" t="str">
        <x:v>standards_catalogue</x:v>
      </x:c>
      <x:c r="D22" s="6" t="str">
        <x:v>https://www.iso.org/standard/75066.html</x:v>
      </x:c>
      <x:c r="E22" s="6" t="str">
        <x:v>Framework relevance only; no clause audit, certification, or ISO endorsement of this project.</x:v>
      </x:c>
    </x:row>
    <x:row r="23" ht="74" customHeight="1">
      <x:c r="A23" s="6" t="str">
        <x:v>P1</x:v>
      </x:c>
      <x:c r="B23" s="6" t="str">
        <x:v>Proposed EmbroideryOS extension</x:v>
      </x:c>
      <x:c r="C23" s="6" t="str">
        <x:v>proposal</x:v>
      </x:c>
      <x:c r="D23" s="6" t="str"/>
      <x:c r="E23" s="6" t="str">
        <x:v>Engineering targets and acceptance designs, not measured outcomes or vendor claims.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65" hidden="0" customWidth="1"/>
    <x:col min="4" max="4" width="80" hidden="0" customWidth="1"/>
    <x:col min="5" max="5" width="20" hidden="0" customWidth="1"/>
  </x:cols>
  <x:sheetData>
    <x:row r="1" ht="32" customHeight="1">
      <x:c r="A1" s="11" t="str">
        <x:v>ID</x:v>
      </x:c>
      <x:c r="B1" s="11" t="str">
        <x:v>Topic</x:v>
      </x:c>
      <x:c r="C1" s="11" t="str">
        <x:v>Supplied variants</x:v>
      </x:c>
      <x:c r="D1" s="11" t="str">
        <x:v>Resolution / open issue</x:v>
      </x:c>
      <x:c r="E1" s="11" t="str">
        <x:v>Sources</x:v>
      </x:c>
    </x:row>
    <x:row r="2" ht="106" customHeight="1">
      <x:c r="A2" s="6" t="str">
        <x:v>CF01</x:v>
      </x:c>
      <x:c r="B2" s="6" t="str">
        <x:v>Fonts</x:v>
      </x:c>
      <x:c r="C2" s="6" t="str">
        <x:v>100 built-in fonts
130 fonts with filter and mapping
Hundreds of built-in fonts</x:v>
      </x:c>
      <x:c r="D2" s="6" t="str">
        <x:v>Unresolved category/version ambiguity. Vendor regional page itself contains all three. Publish our actual inventory with scope; do not sum or silently pick.</x:v>
      </x:c>
      <x:c r="E2" s="6" t="str">
        <x:v>U1, B1</x:v>
      </x:c>
    </x:row>
    <x:row r="3" ht="106" customHeight="1">
      <x:c r="A3" s="6" t="str">
        <x:v>CF02</x:v>
      </x:c>
      <x:c r="B3" s="6" t="str">
        <x:v>OS baseline</x:v>
      </x:c>
      <x:c r="C3" s="6" t="str">
        <x:v>Windows 11/10/8.1/7 headline
Windows 7/8.1/10 in minimum-PC table</x:v>
      </x:c>
      <x:c r="D3" s="6" t="str">
        <x:v>Retain both source scopes; neither constitutes platform support evidence.</x:v>
      </x:c>
      <x:c r="E3" s="6" t="str">
        <x:v>U1, B1</x:v>
      </x:c>
    </x:row>
    <x:row r="4" ht="106" customHeight="1">
      <x:c r="A4" s="6" t="str">
        <x:v>CF03</x:v>
      </x:c>
      <x:c r="B4" s="6" t="str">
        <x:v>Hardware baselines</x:v>
      </x:c>
      <x:c r="C4" s="6" t="str">
        <x:v>Earlier 1.5 GHz / 800 MB / 1-4 GB RAM
Current 1 GHz / 300 MB / 512 MB minimum, 1 GB recommended</x:v>
      </x:c>
      <x:c r="D4" s="6" t="str">
        <x:v>Separate acceptance profiles; gateway-assisted is not direct native parity.</x:v>
      </x:c>
      <x:c r="E4" s="6" t="str">
        <x:v>U1, L02</x:v>
      </x:c>
    </x:row>
    <x:row r="5" ht="106" customHeight="1">
      <x:c r="A5" s="6" t="str">
        <x:v>CF04</x:v>
      </x:c>
      <x:c r="B5" s="6" t="str">
        <x:v>Unattributed product fragment</x:v>
      </x:c>
      <x:c r="C5" s="6" t="str">
        <x:v>M Focuses on approachable digitising ... bitmap/vector ... sequencing</x:v>
      </x:c>
      <x:c r="D5" s="6" t="str">
        <x:v>Functional requirement retained; product identity not established.</x:v>
      </x:c>
      <x:c r="E5" s="6" t="str">
        <x:v>U1</x:v>
      </x:c>
    </x:row>
    <x:row r="6" ht="106" customHeight="1">
      <x:c r="A6" s="6" t="str">
        <x:v>CF05</x:v>
      </x:c>
      <x:c r="B6" s="6" t="str">
        <x:v>Hoop and file versions</x:v>
      </x:c>
      <x:c r="C6" s="6" t="str">
        <x:v>360 x 360 / 272 x 408 in supplied table
Later official update lists another frame and PES revision</x:v>
      </x:c>
      <x:c r="D6" s="6" t="str">
        <x:v>Do not overwrite supplied envelopes; keep model/file-version-specific records.</x:v>
      </x:c>
      <x:c r="E6" s="6" t="str">
        <x:v>U1, B1, B7</x:v>
      </x:c>
    </x:row>
    <x:row r="7" ht="106" customHeight="1">
      <x:c r="A7" s="6" t="str">
        <x:v>CF06</x:v>
      </x:c>
      <x:c r="B7" s="6" t="str">
        <x:v>Stitch Stimulation</x:v>
      </x:c>
      <x:c r="C7" s="6" t="str">
        <x:v>Stitch Stimulation: Yes</x:v>
      </x:c>
      <x:c r="D7" s="6" t="str">
        <x:v>Source spelling retained as alias; interpreted as playback for requirements, not calibrated physical simulation.</x:v>
      </x:c>
      <x:c r="E7" s="6" t="str">
        <x:v>U1, B1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5" hidden="0" customWidth="1"/>
    <x:col min="4" max="4" width="23" hidden="0" customWidth="1"/>
    <x:col min="5" max="5" width="65" hidden="0" customWidth="1"/>
    <x:col min="6" max="6" width="64" hidden="0" customWidth="1"/>
  </x:cols>
  <x:sheetData>
    <x:row r="1" ht="32" customHeight="1">
      <x:c r="A1" s="11" t="str">
        <x:v>ID</x:v>
      </x:c>
      <x:c r="B1" s="11" t="str">
        <x:v>Source family</x:v>
      </x:c>
      <x:c r="C1" s="11" t="str">
        <x:v>Category</x:v>
      </x:c>
      <x:c r="D1" s="11" t="str">
        <x:v>Implementation scope</x:v>
      </x:c>
      <x:c r="E1" s="11" t="str">
        <x:v>Engineering requirement</x:v>
      </x:c>
      <x:c r="F1" s="11" t="str">
        <x:v>Acceptance boundary</x:v>
      </x:c>
    </x:row>
    <x:row r="2" ht="54" customHeight="1">
      <x:c r="A2" s="6" t="str">
        <x:v>L01</x:v>
      </x:c>
      <x:c r="B2" s="6" t="str">
        <x:v>Running</x:v>
      </x:c>
      <x:c r="C2" s="6" t="str">
        <x:v>Line stitch families</x:v>
      </x:c>
      <x:c r="D2" s="6" t="str">
        <x:v>LIBRARY_SUBSET</x:v>
      </x:c>
      <x:c r="E2" s="6" t="str">
        <x:v>Arc-length resampling, repeated-pass options and quantised length checks.</x:v>
      </x:c>
      <x:c r="F2" s="6" t="str">
        <x:v>Unsupported geometry, density or required tooling blocks generation/release; no fallback to another family.</x:v>
      </x:c>
    </x:row>
    <x:row r="3" ht="54" customHeight="1">
      <x:c r="A3" s="6" t="str">
        <x:v>L02X</x:v>
      </x:c>
      <x:c r="B3" s="6" t="str">
        <x:v>Zigzag</x:v>
      </x:c>
      <x:c r="C3" s="6" t="str">
        <x:v>Line stitch families</x:v>
      </x:c>
      <x:c r="D3" s="6" t="str">
        <x:v>PLANNED</x:v>
      </x:c>
      <x:c r="E3" s="6" t="str">
        <x:v>Path normals, width/density controls and bounded corner treatment.</x:v>
      </x:c>
      <x:c r="F3" s="6" t="str">
        <x:v>Unsupported geometry, density or required tooling blocks generation/release; no fallback to another family.</x:v>
      </x:c>
    </x:row>
    <x:row r="4" ht="54" customHeight="1">
      <x:c r="A4" s="6" t="str">
        <x:v>L03</x:v>
      </x:c>
      <x:c r="B4" s="6" t="str">
        <x:v>Triple</x:v>
      </x:c>
      <x:c r="C4" s="6" t="str">
        <x:v>Line stitch families</x:v>
      </x:c>
      <x:c r="D4" s="6" t="str">
        <x:v>PLANNED</x:v>
      </x:c>
      <x:c r="E4" s="6" t="str">
        <x:v>Explicit forward/back/forward topology and bounded repeated penetrations.</x:v>
      </x:c>
      <x:c r="F4" s="6" t="str">
        <x:v>Unsupported geometry, density or required tooling blocks generation/release; no fallback to another family.</x:v>
      </x:c>
    </x:row>
    <x:row r="5" ht="54" customHeight="1">
      <x:c r="A5" s="6" t="str">
        <x:v>L04</x:v>
      </x:c>
      <x:c r="B5" s="6" t="str">
        <x:v>Motif</x:v>
      </x:c>
      <x:c r="C5" s="6" t="str">
        <x:v>Line stitch families</x:v>
      </x:c>
      <x:c r="D5" s="6" t="str">
        <x:v>PLANNED</x:v>
      </x:c>
      <x:c r="E5" s="6" t="str">
        <x:v>Parametric motif placement with curvature, endpoint and connection rules.</x:v>
      </x:c>
      <x:c r="F5" s="6" t="str">
        <x:v>Unsupported geometry, density or required tooling blocks generation/release; no fallback to another family.</x:v>
      </x:c>
    </x:row>
    <x:row r="6" ht="54" customHeight="1">
      <x:c r="A6" s="6" t="str">
        <x:v>L05</x:v>
      </x:c>
      <x:c r="B6" s="6" t="str">
        <x:v>Stem</x:v>
      </x:c>
      <x:c r="C6" s="6" t="str">
        <x:v>Line stitch families</x:v>
      </x:c>
      <x:c r="D6" s="6" t="str">
        <x:v>PLANNED</x:v>
      </x:c>
      <x:c r="E6" s="6" t="str">
        <x:v>Overlapping angled segments with phase, width and endpoint controls.</x:v>
      </x:c>
      <x:c r="F6" s="6" t="str">
        <x:v>Unsupported geometry, density or required tooling blocks generation/release; no fallback to another family.</x:v>
      </x:c>
    </x:row>
    <x:row r="7" ht="54" customHeight="1">
      <x:c r="A7" s="6" t="str">
        <x:v>L06</x:v>
      </x:c>
      <x:c r="B7" s="6" t="str">
        <x:v>Candlewicking</x:v>
      </x:c>
      <x:c r="C7" s="6" t="str">
        <x:v>Line stitch families</x:v>
      </x:c>
      <x:c r="D7" s="6" t="str">
        <x:v>PLANNED</x:v>
      </x:c>
      <x:c r="E7" s="6" t="str">
        <x:v>Editable knot-like motif placement; distinguish appearance from hand-stitched knots.</x:v>
      </x:c>
      <x:c r="F7" s="6" t="str">
        <x:v>Unsupported geometry, density or required tooling blocks generation/release; no fallback to another family.</x:v>
      </x:c>
    </x:row>
    <x:row r="8" ht="54" customHeight="1">
      <x:c r="A8" s="6" t="str">
        <x:v>L07</x:v>
      </x:c>
      <x:c r="B8" s="6" t="str">
        <x:v>E/V</x:v>
      </x:c>
      <x:c r="C8" s="6" t="str">
        <x:v>Line stitch families</x:v>
      </x:c>
      <x:c r="D8" s="6" t="str">
        <x:v>PLANNED</x:v>
      </x:c>
      <x:c r="E8" s="6" t="str">
        <x:v>Two variants with explicit leg, stem, spacing and repeat parameters.</x:v>
      </x:c>
      <x:c r="F8" s="6" t="str">
        <x:v>Unsupported geometry, density or required tooling blocks generation/release; no fallback to another family.</x:v>
      </x:c>
    </x:row>
    <x:row r="9" ht="54" customHeight="1">
      <x:c r="A9" s="6" t="str">
        <x:v>L08</x:v>
      </x:c>
      <x:c r="B9" s="6" t="str">
        <x:v>Chain</x:v>
      </x:c>
      <x:c r="C9" s="6" t="str">
        <x:v>Line stitch families</x:v>
      </x:c>
      <x:c r="D9" s="6" t="str">
        <x:v>PLANNED</x:v>
      </x:c>
      <x:c r="E9" s="6" t="str">
        <x:v>Decorative chain-shaped embroidery path; true chain-stitch hardware is a separate capability.</x:v>
      </x:c>
      <x:c r="F9" s="6" t="str">
        <x:v>Unsupported geometry, density or required tooling blocks generation/release; no fallback to another family.</x:v>
      </x:c>
    </x:row>
    <x:row r="10" ht="54" customHeight="1">
      <x:c r="A10" s="6" t="str">
        <x:v>L09</x:v>
      </x:c>
      <x:c r="B10" s="6" t="str">
        <x:v>Cutting</x:v>
      </x:c>
      <x:c r="C10" s="6" t="str">
        <x:v>Line stitch families</x:v>
      </x:c>
      <x:c r="D10" s="6" t="str">
        <x:v>PLANNED</x:v>
      </x:c>
      <x:c r="E10" s="6" t="str">
        <x:v>Typed cutting/tool operation; never substitute a running stitch for physical cutting.</x:v>
      </x:c>
      <x:c r="F10" s="6" t="str">
        <x:v>Unsupported geometry, density or required tooling blocks generation/release; no fallback to another family.</x:v>
      </x:c>
    </x:row>
    <x:row r="11" ht="54" customHeight="1">
      <x:c r="A11" s="6" t="str">
        <x:v>S01</x:v>
      </x:c>
      <x:c r="B11" s="6" t="str">
        <x:v>Satin</x:v>
      </x:c>
      <x:c r="C11" s="6" t="str">
        <x:v>Region stitch families</x:v>
      </x:c>
      <x:c r="D11" s="6" t="str">
        <x:v>LIBRARY_SUBSET</x:v>
      </x:c>
      <x:c r="E11" s="6" t="str">
        <x:v>Constrained current centreline satin must expand to supported shapes and corner strategies.</x:v>
      </x:c>
      <x:c r="F11" s="6" t="str">
        <x:v>Invalid topology, singularities or resource exhaustion fail before writing an output.</x:v>
      </x:c>
    </x:row>
    <x:row r="12" ht="54" customHeight="1">
      <x:c r="A12" s="6" t="str">
        <x:v>S02</x:v>
      </x:c>
      <x:c r="B12" s="6" t="str">
        <x:v>Fill</x:v>
      </x:c>
      <x:c r="C12" s="6" t="str">
        <x:v>Region stitch families</x:v>
      </x:c>
      <x:c r="D12" s="6" t="str">
        <x:v>LIBRARY_SUBSET</x:v>
      </x:c>
      <x:c r="E12" s="6" t="str">
        <x:v>Extend single-ring scanline fill with robust topology and explicit stitch strategies.</x:v>
      </x:c>
      <x:c r="F12" s="6" t="str">
        <x:v>Invalid topology, singularities or resource exhaustion fail before writing an output.</x:v>
      </x:c>
    </x:row>
    <x:row r="13" ht="54" customHeight="1">
      <x:c r="A13" s="6" t="str">
        <x:v>S03</x:v>
      </x:c>
      <x:c r="B13" s="6" t="str">
        <x:v>Programmable fill</x:v>
      </x:c>
      <x:c r="C13" s="6" t="str">
        <x:v>Region stitch families</x:v>
      </x:c>
      <x:c r="D13" s="6" t="str">
        <x:v>PLANNED</x:v>
      </x:c>
      <x:c r="E13" s="6" t="str">
        <x:v>Editable repeated fill cell with deterministic lattice and clipping.</x:v>
      </x:c>
      <x:c r="F13" s="6" t="str">
        <x:v>Invalid topology, singularities or resource exhaustion fail before writing an output.</x:v>
      </x:c>
    </x:row>
    <x:row r="14" ht="54" customHeight="1">
      <x:c r="A14" s="6" t="str">
        <x:v>S04</x:v>
      </x:c>
      <x:c r="B14" s="6" t="str">
        <x:v>Motif</x:v>
      </x:c>
      <x:c r="C14" s="6" t="str">
        <x:v>Region stitch families</x:v>
      </x:c>
      <x:c r="D14" s="6" t="str">
        <x:v>PLANNED</x:v>
      </x:c>
      <x:c r="E14" s="6" t="str">
        <x:v>Region motif lattice with partial-cell and island handling.</x:v>
      </x:c>
      <x:c r="F14" s="6" t="str">
        <x:v>Invalid topology, singularities or resource exhaustion fail before writing an output.</x:v>
      </x:c>
    </x:row>
    <x:row r="15" ht="54" customHeight="1">
      <x:c r="A15" s="6" t="str">
        <x:v>S05</x:v>
      </x:c>
      <x:c r="B15" s="6" t="str">
        <x:v>Piping</x:v>
      </x:c>
      <x:c r="C15" s="6" t="str">
        <x:v>Region stitch families</x:v>
      </x:c>
      <x:c r="D15" s="6" t="str">
        <x:v>PLANNED</x:v>
      </x:c>
      <x:c r="E15" s="6" t="str">
        <x:v>Define intended piping-style stitch topology and material assumptions; visual label alone is insufficient.</x:v>
      </x:c>
      <x:c r="F15" s="6" t="str">
        <x:v>Invalid topology, singularities or resource exhaustion fail before writing an output.</x:v>
      </x:c>
    </x:row>
    <x:row r="16" ht="54" customHeight="1">
      <x:c r="A16" s="6" t="str">
        <x:v>S06</x:v>
      </x:c>
      <x:c r="B16" s="6" t="str">
        <x:v>Cross Stitch</x:v>
      </x:c>
      <x:c r="C16" s="6" t="str">
        <x:v>Region stitch families</x:v>
      </x:c>
      <x:c r="D16" s="6" t="str">
        <x:v>PLANNED</x:v>
      </x:c>
      <x:c r="E16" s="6" t="str">
        <x:v>Grid size, full/partial crosses, colour groups and sequence constraints.</x:v>
      </x:c>
      <x:c r="F16" s="6" t="str">
        <x:v>Invalid topology, singularities or resource exhaustion fail before writing an output.</x:v>
      </x:c>
    </x:row>
    <x:row r="17" ht="54" customHeight="1">
      <x:c r="A17" s="6" t="str">
        <x:v>S07</x:v>
      </x:c>
      <x:c r="B17" s="6" t="str">
        <x:v>Concentric Circle</x:v>
      </x:c>
      <x:c r="C17" s="6" t="str">
        <x:v>Region stitch families</x:v>
      </x:c>
      <x:c r="D17" s="6" t="str">
        <x:v>PLANNED</x:v>
      </x:c>
      <x:c r="E17" s="6" t="str">
        <x:v>Inset concentric paths with centre/collapse policy.</x:v>
      </x:c>
      <x:c r="F17" s="6" t="str">
        <x:v>Invalid topology, singularities or resource exhaustion fail before writing an output.</x:v>
      </x:c>
    </x:row>
    <x:row r="18" ht="54" customHeight="1">
      <x:c r="A18" s="6" t="str">
        <x:v>S08</x:v>
      </x:c>
      <x:c r="B18" s="6" t="str">
        <x:v>Radial</x:v>
      </x:c>
      <x:c r="C18" s="6" t="str">
        <x:v>Region stitch families</x:v>
      </x:c>
      <x:c r="D18" s="6" t="str">
        <x:v>PLANNED</x:v>
      </x:c>
      <x:c r="E18" s="6" t="str">
        <x:v>Angular/radial field with singularity handling and density bounds.</x:v>
      </x:c>
      <x:c r="F18" s="6" t="str">
        <x:v>Invalid topology, singularities or resource exhaustion fail before writing an output.</x:v>
      </x:c>
    </x:row>
    <x:row r="19" ht="54" customHeight="1">
      <x:c r="A19" s="6" t="str">
        <x:v>S09</x:v>
      </x:c>
      <x:c r="B19" s="6" t="str">
        <x:v>Spiral</x:v>
      </x:c>
      <x:c r="C19" s="6" t="str">
        <x:v>Region stitch families</x:v>
      </x:c>
      <x:c r="D19" s="6" t="str">
        <x:v>PLANNED</x:v>
      </x:c>
      <x:c r="E19" s="6" t="str">
        <x:v>Parametric spiral with pitch and connector controls.</x:v>
      </x:c>
      <x:c r="F19" s="6" t="str">
        <x:v>Invalid topology, singularities or resource exhaustion fail before writing an output.</x:v>
      </x:c>
    </x:row>
    <x:row r="20" ht="54" customHeight="1">
      <x:c r="A20" s="6" t="str">
        <x:v>S10</x:v>
      </x:c>
      <x:c r="B20" s="6" t="str">
        <x:v>Flexible Spiral</x:v>
      </x:c>
      <x:c r="C20" s="6" t="str">
        <x:v>Region stitch families</x:v>
      </x:c>
      <x:c r="D20" s="6" t="str">
        <x:v>PLANNED</x:v>
      </x:c>
      <x:c r="E20" s="6" t="str">
        <x:v>Shape-adapted spiral preserving clearances and travel policy.</x:v>
      </x:c>
      <x:c r="F20" s="6" t="str">
        <x:v>Invalid topology, singularities or resource exhaustion fail before writing an output.</x:v>
      </x:c>
    </x:row>
    <x:row r="21" ht="54" customHeight="1">
      <x:c r="A21" s="6" t="str">
        <x:v>S11</x:v>
      </x:c>
      <x:c r="B21" s="6" t="str">
        <x:v>Stippling</x:v>
      </x:c>
      <x:c r="C21" s="6" t="str">
        <x:v>Region stitch families</x:v>
      </x:c>
      <x:c r="D21" s="6" t="str">
        <x:v>PLANNED</x:v>
      </x:c>
      <x:c r="E21" s="6" t="str">
        <x:v>Deterministic seeded meander with clearance, curvature and optional no-crossing constraints.</x:v>
      </x:c>
      <x:c r="F21" s="6" t="str">
        <x:v>Invalid topology, singularities or resource exhaustion fail before writing an output.</x:v>
      </x:c>
    </x:row>
    <x:row r="22" ht="54" customHeight="1">
      <x:c r="A22" s="6" t="str">
        <x:v>S12</x:v>
      </x:c>
      <x:c r="B22" s="6" t="str">
        <x:v>Net Fill</x:v>
      </x:c>
      <x:c r="C22" s="6" t="str">
        <x:v>Region stitch families</x:v>
      </x:c>
      <x:c r="D22" s="6" t="str">
        <x:v>PLANNED</x:v>
      </x:c>
      <x:c r="E22" s="6" t="str">
        <x:v>Open mesh coverage with intersection and support rules.</x:v>
      </x:c>
      <x:c r="F22" s="6" t="str">
        <x:v>Invalid topology, singularities or resource exhaustion fail before writing an output.</x:v>
      </x:c>
    </x:row>
    <x:row r="23" ht="54" customHeight="1">
      <x:c r="A23" s="6" t="str">
        <x:v>S13</x:v>
      </x:c>
      <x:c r="B23" s="6" t="str">
        <x:v>Zigzag Net Fill</x:v>
      </x:c>
      <x:c r="C23" s="6" t="str">
        <x:v>Region stitch families</x:v>
      </x:c>
      <x:c r="D23" s="6" t="str">
        <x:v>PLANNED</x:v>
      </x:c>
      <x:c r="E23" s="6" t="str">
        <x:v>Net arms with zigzag topology and bounded intersection density.</x:v>
      </x:c>
      <x:c r="F23" s="6" t="str">
        <x:v>Invalid topology, singularities or resource exhaustion fail before writing an output.</x:v>
      </x:c>
    </x:row>
    <x:row r="24" ht="54" customHeight="1">
      <x:c r="A24" s="6" t="str">
        <x:v>S14</x:v>
      </x:c>
      <x:c r="B24" s="6" t="str">
        <x:v>Decorative Fill</x:v>
      </x:c>
      <x:c r="C24" s="6" t="str">
        <x:v>Region stitch families</x:v>
      </x:c>
      <x:c r="D24" s="6" t="str">
        <x:v>PLANNED</x:v>
      </x:c>
      <x:c r="E24" s="6" t="str">
        <x:v>Authorable repeating pattern with clipping, offsets and join rules.</x:v>
      </x:c>
      <x:c r="F24" s="6" t="str">
        <x:v>Invalid topology, singularities or resource exhaustion fail before writing an output.</x:v>
      </x:c>
    </x:row>
  </x:sheetData>
  <x:pageMargins left="0.7" right="0.7" top="0.75" bottom="0.75" header="0.3" footer="0.3"/>
  <x:tableParts count="1">
    <x:tablePart xmlns:r="http://schemas.openxmlformats.org/officeDocument/2006/relationships" r:id="R7285cbfa186d40a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80" hidden="0" customWidth="1"/>
    <x:col min="4" max="4" width="66" hidden="0" customWidth="1"/>
  </x:cols>
  <x:sheetData>
    <x:row r="1" ht="32" customHeight="1">
      <x:c r="A1" s="11" t="str">
        <x:v>Gate</x:v>
      </x:c>
      <x:c r="B1" s="11" t="str">
        <x:v>Proposed timing</x:v>
      </x:c>
      <x:c r="C1" s="11" t="str">
        <x:v>Pass condition / KPI</x:v>
      </x:c>
      <x:c r="D1" s="11" t="str">
        <x:v>Evidence / owner</x:v>
      </x:c>
    </x:row>
    <x:row r="2" ht="98" customHeight="1">
      <x:c r="A2" s="4" t="str">
        <x:v>1. Native acceptance</x:v>
      </x:c>
      <x:c r="B2" s="4" t="str">
        <x:v>First integration sprint</x:v>
      </x:c>
      <x:c r="C2" s="4" t="str">
        <x:v>Actual Rust export, decoded trace and linked browser views pass on the exact review commit.</x:v>
      </x:c>
      <x:c r="D2" s="4" t="str">
        <x:v>CI logs, hashes and real browser recording; engine/integration owner.</x:v>
      </x:c>
    </x:row>
    <x:row r="3" ht="98" customHeight="1">
      <x:c r="A3" s="4" t="str">
        <x:v>2. Source traceability</x:v>
      </x:c>
      <x:c r="B3" s="4" t="str">
        <x:v>Within 1 week of kickoff</x:v>
      </x:c>
      <x:c r="C3" s="4" t="str">
        <x:v>All 210 rows retain a source, accountable role and positive/negative test; zero source conflicts silently resolved.</x:v>
      </x:c>
      <x:c r="D3" s="4" t="str">
        <x:v>Register audit; product + assurance.</x:v>
      </x:c>
    </x:row>
    <x:row r="4" ht="98" customHeight="1">
      <x:c r="A4" s="4" t="str">
        <x:v>3. Artifact integrity</x:v>
      </x:c>
      <x:c r="B4" s="4" t="str">
        <x:v>Within 2 weeks after native gate</x:v>
      </x:c>
      <x:c r="C4" s="4" t="str">
        <x:v>30 cases bind original, editable, actual output/PDF and twin; zero stale artifacts accepted.</x:v>
      </x:c>
      <x:c r="D4" s="4" t="str">
        <x:v>Native-to-browser tests and sampled artifacts; studio + assurance.</x:v>
      </x:c>
    </x:row>
    <x:row r="5" ht="98" customHeight="1">
      <x:c r="A5" s="4" t="str">
        <x:v>4. Family coverage</x:v>
      </x:c>
      <x:c r="B5" s="4" t="str">
        <x:v>Before claiming 9/14 parity</x:v>
      </x:c>
      <x:c r="C5" s="4" t="str">
        <x:v>All 9 line groups and 14 region families have topology/export tests and scoped physical QC; unsupported combinations blocked.</x:v>
      </x:c>
      <x:c r="D5" s="4" t="str">
        <x:v>Per-family corpus, exact files and stitch-outs; Rust + process.</x:v>
      </x:c>
    </x:row>
    <x:row r="6" ht="98" customHeight="1">
      <x:c r="A6" s="4" t="str">
        <x:v>5. Lettering and catalogue</x:v>
      </x:c>
      <x:c r="B6" s="4" t="str">
        <x:v>Before catalogue parity release</x:v>
      </x:c>
      <x:c r="C6" s="4" t="str">
        <x:v>100% published fonts/designs have rights and counted categories; declared glyph corpus has zero silent substitutions.</x:v>
      </x:c>
      <x:c r="D6" s="4" t="str">
        <x:v>Inventory manifest, text regression and QC evidence; lettering/content.</x:v>
      </x:c>
    </x:row>
    <x:row r="7" ht="98" customHeight="1">
      <x:c r="A7" s="4" t="str">
        <x:v>6. Interaction reliability</x:v>
      </x:c>
      <x:c r="B7" s="4" t="str">
        <x:v>Within 8 weeks of integration kickoff</x:v>
      </x:c>
      <x:c r="C7" s="4" t="str">
        <x:v>Target p95 edit-to-preview &lt;=200 ms on a named 25,000-event fixture/host; negative/error flows preserve projects.</x:v>
      </x:c>
      <x:c r="D7" s="4" t="str">
        <x:v>At least 200 edits, latency distribution and crash logs; UI/performance.</x:v>
      </x:c>
    </x:row>
    <x:row r="8" ht="98" customHeight="1">
      <x:c r="A8" s="4" t="str">
        <x:v>7. Physical workflow improvement</x:v>
      </x:c>
      <x:c r="B8" s="4" t="str">
        <x:v>Pilot within 24 weeks, resources permitting</x:v>
      </x:c>
      <x:c r="C8" s="4" t="str">
        <x:v>Target &gt;=30% median preparation-time reduction only if a pre-registered blind quality non-inferiority criterion passes.</x:v>
      </x:c>
      <x:c r="D8" s="4" t="str">
        <x:v>Held-out comparison, confidence intervals and interventions; independent process evaluators.</x:v>
      </x:c>
    </x:row>
  </x:sheetData>
  <x:pageMargins left="0.7" right="0.7" top="0.75" bottom="0.75" header="0.3" footer="0.3"/>
</x:worksheet>
</file>